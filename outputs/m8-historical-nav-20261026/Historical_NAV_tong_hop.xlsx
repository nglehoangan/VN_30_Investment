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81a473922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28e99c64df4d8f"/>
    <x:sheet xmlns:r="http://schemas.openxmlformats.org/officeDocument/2006/relationships" name="Daily" sheetId="2" r:id="R7eeb5a2e9f7344c5"/>
    <x:sheet xmlns:r="http://schemas.openxmlformats.org/officeDocument/2006/relationships" name="Cash" sheetId="3" r:id="R5c32d028722a4ce3"/>
    <x:sheet xmlns:r="http://schemas.openxmlformats.org/officeDocument/2006/relationships" name="Trades" sheetId="4" r:id="Rcaca4ec68da34e27"/>
    <x:sheet xmlns:r="http://schemas.openxmlformats.org/officeDocument/2006/relationships" name="Securities" sheetId="5" r:id="Rc0d3dc1a3848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;(#,##0);&quot;-&quot;"/>
    <x:numFmt numFmtId="202" formatCode="0.00"/>
  </x:numFmts>
  <x:fonts count="7">
    <x:font>
      <x:sz val="11"/>
      <x:name val="Carlito"/>
    </x:font>
    <x:font>
      <x:sz val="10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666666"/>
      <x:name val="Arial"/>
    </x:font>
    <x:font>
      <x:i/>
      <x:sz val="10"/>
      <x:color rgb="FF666666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B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243D5B"/>
      </x:bottom>
      <x:diagonal/>
    </x:border>
    <x:border>
      <x:left/>
      <x:right/>
      <x:top style="thin">
        <x:color rgb="FF243D5B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1" xfId="0" applyNumberFormat="1" applyFont="1" applyFill="1" applyBorder="1"/>
    <x:xf numFmtId="0" fontId="5" fillId="0" borderId="0" xfId="0" applyNumberFormat="1" applyFont="1" applyFill="1" applyBorder="1"/>
    <x:xf numFmtId="0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54d5ac102d4801" /><Relationship Type="http://schemas.openxmlformats.org/officeDocument/2006/relationships/theme" Target="/xl/theme/theme1.xml" Id="R5281bc3037dc4a3d" /><Relationship Type="http://schemas.openxmlformats.org/officeDocument/2006/relationships/sharedStrings" Target="/xl/sharedStrings.xml" Id="R9035cf5d12e9435b" /><Relationship Type="http://schemas.openxmlformats.org/officeDocument/2006/relationships/worksheet" Target="/xl/worksheets/sheet1.xml" Id="R2228e99c64df4d8f" /><Relationship Type="http://schemas.openxmlformats.org/officeDocument/2006/relationships/worksheet" Target="/xl/worksheets/sheet2.xml" Id="R7eeb5a2e9f7344c5" /><Relationship Type="http://schemas.openxmlformats.org/officeDocument/2006/relationships/worksheet" Target="/xl/worksheets/sheet3.xml" Id="R5c32d028722a4ce3" /><Relationship Type="http://schemas.openxmlformats.org/officeDocument/2006/relationships/worksheet" Target="/xl/worksheets/sheet4.xml" Id="Rcaca4ec68da34e27" /><Relationship Type="http://schemas.openxmlformats.org/officeDocument/2006/relationships/worksheet" Target="/xl/worksheets/sheet5.xml" Id="Rc0d3dc1a38484c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6178fbc7294c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Tiền cuối kỳ — không phải NAV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Tiền cuối kỳ</c:v>
          </c:tx>
          <c:spPr>
            <a:ln xmlns:a="http://schemas.openxmlformats.org/drawingml/2006/main" w="19050">
              <a:solidFill>
                <a:srgbClr val="355F87"/>
              </a:solidFill>
              <a:prstDash val="solid"/>
            </a:ln>
          </c:spPr>
          <c:marker>
            <c:symbol val="none"/>
          </c:marker>
          <c:cat>
            <c:strRef>
              <c:f>'Summary'!$F$6:$F$22</c:f>
              <c:strCache>
                <c:ptCount val="0"/>
              </c:strCache>
            </c:strRef>
          </c:cat>
          <c:val>
            <c:numRef>
              <c:f>'Summary'!$G$6:$G$22</c:f>
              <c:numCache>
                <c:formatCode>#,##0;(#,##0);"-"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9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6178fbc7294c6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c15089feaa403b" /></Relationships>
</file>

<file path=xl/worksheets/sheet1.xml><?xml version="1.0" encoding="utf-8"?>
<x:worksheet xmlns:x="http://schemas.openxmlformats.org/spreadsheetml/2006/main">
  <x:sheetPr>
    <x:tabColor rgb="FF243D5B"/>
  </x:sheetPr>
  <x:sheetViews>
    <x:sheetView showGridLines="0" workbookViewId="0"/>
  </x:sheetViews>
  <x:sheetFormatPr defaultRowHeight="15"/>
  <x:cols>
    <x:col min="1" max="1" width="42" hidden="0" customWidth="1"/>
    <x:col min="2" max="2" width="3" hidden="0" customWidth="1"/>
    <x:col min="3" max="3" width="21" hidden="0" customWidth="1"/>
    <x:col min="4" max="4" width="3" hidden="0" customWidth="1"/>
    <x:col min="5" max="5" width="3" hidden="0" customWidth="1"/>
    <x:col min="6" max="6" width="18" hidden="0" customWidth="1"/>
    <x:col min="7" max="7" width="20" hidden="0" customWidth="1"/>
    <x:col min="8" max="8" width="10" hidden="0" customWidth="1"/>
    <x:col min="9" max="9" width="10" hidden="0" customWidth="1"/>
  </x:cols>
  <x:sheetData>
    <x:row r="1" ht="21" customHeight="1">
      <x:c r="A1" s="17"/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26" customHeight="1">
      <x:c r="A2" s="18" t="str">
        <x:v>Historical NAV — tổng hợp sao kê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21" customHeight="1">
      <x:c r="A3" s="19"/>
      <x:c r="B3" s="19"/>
      <x:c r="C3" s="19"/>
      <x:c r="D3" s="19"/>
      <x:c r="E3" s="19"/>
      <x:c r="F3" s="19"/>
      <x:c r="G3" s="19"/>
      <x:c r="H3" s="19"/>
      <x:c r="I3" s="19"/>
      <x:c r="J3" s="17"/>
      <x:c r="K3" s="17"/>
      <x:c r="L3" s="17"/>
      <x:c r="M3" s="17"/>
      <x:c r="N3" s="17"/>
    </x:row>
    <x:row r="4" ht="30" customHeight="1">
      <x:c r="A4" s="20" t="str">
        <x:v>30/06/2025–26/10/2026 | VND | chưa đủ giá lịch sử và nghĩa vụ để lập NAV từng ngày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 ht="21" customHeight="1">
      <x:c r="A5" s="21" t="str">
        <x:v>Chỉ tiêu</x:v>
      </x:c>
      <x:c r="B5" s="21"/>
      <x:c r="C5" s="21" t="str">
        <x:v>VND</x:v>
      </x:c>
      <x:c r="D5" s="17"/>
      <x:c r="E5" s="17"/>
      <x:c r="F5" s="21" t="str">
        <x:v>Tháng</x:v>
      </x:c>
      <x:c r="G5" s="21" t="str">
        <x:v>Tiền cuối kỳ</x:v>
      </x:c>
      <x:c r="H5" s="17"/>
      <x:c r="I5" s="17"/>
      <x:c r="J5" s="17"/>
      <x:c r="K5" s="17"/>
      <x:c r="L5" s="17"/>
      <x:c r="M5" s="17"/>
      <x:c r="N5" s="17"/>
    </x:row>
    <x:row r="6" ht="21" customHeight="1">
      <x:c r="A6" s="17" t="str">
        <x:v>Vốn nạp / auto-funding</x:v>
      </x:c>
      <x:c r="B6" s="17"/>
      <x:c r="C6" s="22" t="n">
        <x:f>SUMIFS('Cash'!$C$5:$C$97,'Cash'!$B$5:$B$97,"EXTERNAL_FUNDING")</x:f>
        <x:v>82848881</x:v>
      </x:c>
      <x:c r="D6" s="17"/>
      <x:c r="E6" s="17"/>
      <x:c r="F6" s="17" t="str">
        <x:v>2025-06</x:v>
      </x:c>
      <x:c r="G6" s="22" t="n">
        <x:f>'Daily'!B5</x:f>
        <x:v>10000000</x:v>
      </x:c>
      <x:c r="H6" s="17"/>
      <x:c r="I6" s="17"/>
      <x:c r="J6" s="17"/>
      <x:c r="K6" s="17"/>
      <x:c r="L6" s="17"/>
      <x:c r="M6" s="17"/>
      <x:c r="N6" s="17"/>
    </x:row>
    <x:row r="7" ht="21" customHeight="1">
      <x:c r="A7" s="17" t="str">
        <x:v>Tổng giá trị mua</x:v>
      </x:c>
      <x:c r="B7" s="17"/>
      <x:c r="C7" s="22" t="n">
        <x:f>-SUMIFS('Cash'!$C$5:$C$97,'Cash'!$B$5:$B$97,"BUY_PAYMENT")</x:f>
        <x:v>85455000</x:v>
      </x:c>
      <x:c r="D7" s="17"/>
      <x:c r="E7" s="17"/>
      <x:c r="F7" s="17" t="str">
        <x:v>2025-07</x:v>
      </x:c>
      <x:c r="G7" s="22" t="n">
        <x:f>'Daily'!B36</x:f>
        <x:v>147368</x:v>
      </x:c>
      <x:c r="H7" s="17"/>
      <x:c r="I7" s="17"/>
      <x:c r="J7" s="17"/>
      <x:c r="K7" s="17"/>
      <x:c r="L7" s="17"/>
      <x:c r="M7" s="17"/>
      <x:c r="N7" s="17"/>
    </x:row>
    <x:row r="8" ht="21" customHeight="1">
      <x:c r="A8" s="17" t="str">
        <x:v>Tổng giá trị bán</x:v>
      </x:c>
      <x:c r="B8" s="17"/>
      <x:c r="C8" s="22" t="n">
        <x:f>SUMIFS('Cash'!$C$5:$C$97,'Cash'!$B$5:$B$97,"SELL_RECEIPT")</x:f>
        <x:v>1532000</x:v>
      </x:c>
      <x:c r="D8" s="17"/>
      <x:c r="E8" s="17"/>
      <x:c r="F8" s="17" t="str">
        <x:v>2025-08</x:v>
      </x:c>
      <x:c r="G8" s="22" t="n">
        <x:f>'Daily'!B67</x:f>
        <x:v>0</x:v>
      </x:c>
      <x:c r="H8" s="17"/>
      <x:c r="I8" s="17"/>
      <x:c r="J8" s="17"/>
      <x:c r="K8" s="17"/>
      <x:c r="L8" s="17"/>
      <x:c r="M8" s="17"/>
      <x:c r="N8" s="17"/>
    </x:row>
    <x:row r="9" ht="21" customHeight="1">
      <x:c r="A9" s="17" t="str">
        <x:v>Phí giao dịch</x:v>
      </x:c>
      <x:c r="B9" s="17"/>
      <x:c r="C9" s="22" t="n">
        <x:f>-SUMIFS('Cash'!$C$5:$C$97,'Cash'!$B$5:$B$97,"BUY_FEE")-SUMIFS('Cash'!$C$5:$C$97,'Cash'!$B$5:$B$97,"SELL_FEE")</x:f>
        <x:v>26095</x:v>
      </x:c>
      <x:c r="D9" s="17"/>
      <x:c r="E9" s="17"/>
      <x:c r="F9" s="17" t="str">
        <x:v>2025-09</x:v>
      </x:c>
      <x:c r="G9" s="22" t="n">
        <x:f>'Daily'!B97</x:f>
        <x:v>0</x:v>
      </x:c>
      <x:c r="H9" s="17"/>
      <x:c r="I9" s="17"/>
      <x:c r="J9" s="17"/>
      <x:c r="K9" s="17"/>
      <x:c r="L9" s="17"/>
      <x:c r="M9" s="17"/>
      <x:c r="N9" s="17"/>
    </x:row>
    <x:row r="10" ht="21" customHeight="1">
      <x:c r="A10" s="17" t="str">
        <x:v>Thuế bán</x:v>
      </x:c>
      <x:c r="B10" s="17"/>
      <x:c r="C10" s="22" t="n">
        <x:f>-SUMIFS('Cash'!$C$5:$C$97,'Cash'!$B$5:$B$97,"SALE_TAX")</x:f>
        <x:v>4032</x:v>
      </x:c>
      <x:c r="D10" s="17"/>
      <x:c r="E10" s="17"/>
      <x:c r="F10" s="17" t="str">
        <x:v>2025-10</x:v>
      </x:c>
      <x:c r="G10" s="22" t="n">
        <x:f>'Daily'!B128</x:f>
        <x:v>42638</x:v>
      </x:c>
      <x:c r="H10" s="17"/>
      <x:c r="I10" s="17"/>
      <x:c r="J10" s="17"/>
      <x:c r="K10" s="17"/>
      <x:c r="L10" s="17"/>
      <x:c r="M10" s="17"/>
      <x:c r="N10" s="17"/>
    </x:row>
    <x:row r="11" ht="21" customHeight="1">
      <x:c r="A11" s="17" t="str">
        <x:v>Cổ tức tiền mặt đã nhận (net)</x:v>
      </x:c>
      <x:c r="B11" s="17"/>
      <x:c r="C11" s="22" t="n">
        <x:f>SUMIFS('Cash'!$C$5:$C$97,'Cash'!$B$5:$B$97,"DIVIDEND_NET")</x:f>
        <x:v>1434500</x:v>
      </x:c>
      <x:c r="D11" s="17"/>
      <x:c r="E11" s="17"/>
      <x:c r="F11" s="17" t="str">
        <x:v>2025-11</x:v>
      </x:c>
      <x:c r="G11" s="22" t="n">
        <x:f>'Daily'!B158</x:f>
        <x:v>0</x:v>
      </x:c>
      <x:c r="H11" s="17"/>
      <x:c r="I11" s="17"/>
      <x:c r="J11" s="17"/>
      <x:c r="K11" s="17"/>
      <x:c r="L11" s="17"/>
      <x:c r="M11" s="17"/>
      <x:c r="N11" s="17"/>
    </x:row>
    <x:row r="12" ht="21" customHeight="1">
      <x:c r="A12" s="17" t="str">
        <x:v>Lãi tiền gửi</x:v>
      </x:c>
      <x:c r="B12" s="17"/>
      <x:c r="C12" s="22" t="n">
        <x:f>SUMIFS('Cash'!$C$5:$C$97,'Cash'!$B$5:$B$97,"INTEREST")</x:f>
        <x:v>987</x:v>
      </x:c>
      <x:c r="D12" s="17"/>
      <x:c r="E12" s="17"/>
      <x:c r="F12" s="17" t="str">
        <x:v>2025-12</x:v>
      </x:c>
      <x:c r="G12" s="22" t="n">
        <x:f>'Daily'!B189</x:f>
        <x:v>94696</x:v>
      </x:c>
      <x:c r="H12" s="17"/>
      <x:c r="I12" s="17"/>
      <x:c r="J12" s="17"/>
      <x:c r="K12" s="17"/>
      <x:c r="L12" s="17"/>
      <x:c r="M12" s="17"/>
      <x:c r="N12" s="17"/>
    </x:row>
    <x:row r="13" ht="21" customHeight="1">
      <x:c r="A13" s="17" t="str">
        <x:v>Phí lưu ký</x:v>
      </x:c>
      <x:c r="B13" s="17"/>
      <x:c r="C13" s="22" t="n">
        <x:f>-SUMIFS('Cash'!$C$5:$C$97,'Cash'!$B$5:$B$97,"CUSTODY")</x:f>
        <x:v>3821</x:v>
      </x:c>
      <x:c r="D13" s="17"/>
      <x:c r="E13" s="17"/>
      <x:c r="F13" s="17" t="str">
        <x:v>2026-01</x:v>
      </x:c>
      <x:c r="G13" s="22" t="n">
        <x:f>'Daily'!B220</x:f>
        <x:v>0</x:v>
      </x:c>
      <x:c r="H13" s="17"/>
      <x:c r="I13" s="17"/>
      <x:c r="J13" s="17"/>
      <x:c r="K13" s="17"/>
      <x:c r="L13" s="17"/>
      <x:c r="M13" s="17"/>
      <x:c r="N13" s="17"/>
    </x:row>
    <x:row r="14" ht="21" customHeight="1">
      <x:c r="A14" s="23" t="str">
        <x:v>Tiền cuối 26/10/2026</x:v>
      </x:c>
      <x:c r="B14" s="23"/>
      <x:c r="C14" s="24" t="n">
        <x:f>'Daily'!B488</x:f>
        <x:v>327420</x:v>
      </x:c>
      <x:c r="D14" s="17"/>
      <x:c r="E14" s="17"/>
      <x:c r="F14" s="17" t="str">
        <x:v>2026-02</x:v>
      </x:c>
      <x:c r="G14" s="22" t="n">
        <x:f>'Daily'!B248</x:f>
        <x:v>0</x:v>
      </x:c>
      <x:c r="H14" s="17"/>
      <x:c r="I14" s="17"/>
      <x:c r="J14" s="17"/>
      <x:c r="K14" s="17"/>
      <x:c r="L14" s="17"/>
      <x:c r="M14" s="17"/>
      <x:c r="N14" s="17"/>
    </x:row>
    <x:row r="15" ht="21" customHeight="1">
      <x:c r="A15" s="17"/>
      <x:c r="B15" s="17"/>
      <x:c r="C15" s="22"/>
      <x:c r="D15" s="17"/>
      <x:c r="E15" s="17"/>
      <x:c r="F15" s="17" t="str">
        <x:v>2026-03</x:v>
      </x:c>
      <x:c r="G15" s="22" t="n">
        <x:f>'Daily'!B279</x:f>
        <x:v>0</x:v>
      </x:c>
      <x:c r="H15" s="17"/>
      <x:c r="I15" s="17"/>
      <x:c r="J15" s="17"/>
      <x:c r="K15" s="17"/>
      <x:c r="L15" s="17"/>
      <x:c r="M15" s="17"/>
      <x:c r="N15" s="17"/>
    </x:row>
    <x:row r="16" ht="21" customHeight="1">
      <x:c r="A16" s="17" t="str">
        <x:v>NAV broker 07/10/2026</x:v>
      </x:c>
      <x:c r="B16" s="17"/>
      <x:c r="C16" s="22" t="n">
        <x:f>'Daily'!J469</x:f>
        <x:v>78915815</x:v>
      </x:c>
      <x:c r="D16" s="17"/>
      <x:c r="E16" s="17"/>
      <x:c r="F16" s="17" t="str">
        <x:v>2026-04</x:v>
      </x:c>
      <x:c r="G16" s="22" t="n">
        <x:f>'Daily'!B309</x:f>
        <x:v>0</x:v>
      </x:c>
      <x:c r="H16" s="17"/>
      <x:c r="I16" s="17"/>
      <x:c r="J16" s="17"/>
      <x:c r="K16" s="17"/>
      <x:c r="L16" s="17"/>
      <x:c r="M16" s="17"/>
      <x:c r="N16" s="17"/>
    </x:row>
    <x:row r="17" ht="21" customHeight="1">
      <x:c r="A17" s="17" t="str">
        <x:v>Tiền 07/10/2026</x:v>
      </x:c>
      <x:c r="B17" s="17"/>
      <x:c r="C17" s="22" t="n">
        <x:f>'Daily'!B469</x:f>
        <x:v>232420</x:v>
      </x:c>
      <x:c r="D17" s="17"/>
      <x:c r="E17" s="17"/>
      <x:c r="F17" s="17" t="str">
        <x:v>2026-05</x:v>
      </x:c>
      <x:c r="G17" s="22" t="n">
        <x:f>'Daily'!B340</x:f>
        <x:v>0</x:v>
      </x:c>
      <x:c r="H17" s="17"/>
      <x:c r="I17" s="17"/>
      <x:c r="J17" s="17"/>
      <x:c r="K17" s="17"/>
      <x:c r="L17" s="17"/>
      <x:c r="M17" s="17"/>
      <x:c r="N17" s="17"/>
    </x:row>
    <x:row r="18" ht="21" customHeight="1">
      <x:c r="A18" s="17" t="str">
        <x:v>NAV tính theo ngày</x:v>
      </x:c>
      <x:c r="B18" s="17"/>
      <x:c r="C18" s="17" t="str">
        <x:v>Chưa đủ dữ liệu</x:v>
      </x:c>
      <x:c r="D18" s="17"/>
      <x:c r="E18" s="17"/>
      <x:c r="F18" s="17" t="str">
        <x:v>2026-06</x:v>
      </x:c>
      <x:c r="G18" s="22" t="n">
        <x:f>'Daily'!B370</x:f>
        <x:v>208659</x:v>
      </x:c>
      <x:c r="H18" s="17"/>
      <x:c r="I18" s="17"/>
      <x:c r="J18" s="17"/>
      <x:c r="K18" s="17"/>
      <x:c r="L18" s="17"/>
      <x:c r="M18" s="17"/>
      <x:c r="N18" s="17"/>
    </x:row>
    <x:row r="19" ht="21" customHeight="1">
      <x:c r="A19" s="17"/>
      <x:c r="B19" s="17"/>
      <x:c r="C19" s="17"/>
      <x:c r="D19" s="17"/>
      <x:c r="E19" s="17"/>
      <x:c r="F19" s="17" t="str">
        <x:v>2026-07</x:v>
      </x:c>
      <x:c r="G19" s="22" t="n">
        <x:f>'Daily'!B401</x:f>
        <x:v>76</x:v>
      </x:c>
      <x:c r="H19" s="17"/>
      <x:c r="I19" s="17"/>
      <x:c r="J19" s="17"/>
      <x:c r="K19" s="17"/>
      <x:c r="L19" s="17"/>
      <x:c r="M19" s="17"/>
      <x:c r="N19" s="17"/>
    </x:row>
    <x:row r="20" ht="21" customHeight="1">
      <x:c r="A20" s="17"/>
      <x:c r="B20" s="17"/>
      <x:c r="C20" s="17"/>
      <x:c r="D20" s="17"/>
      <x:c r="E20" s="17"/>
      <x:c r="F20" s="17" t="str">
        <x:v>2026-08</x:v>
      </x:c>
      <x:c r="G20" s="22" t="n">
        <x:f>'Daily'!B432</x:f>
        <x:v>42807</x:v>
      </x:c>
      <x:c r="H20" s="17"/>
      <x:c r="I20" s="17"/>
      <x:c r="J20" s="17"/>
      <x:c r="K20" s="17"/>
      <x:c r="L20" s="17"/>
      <x:c r="M20" s="17"/>
      <x:c r="N20" s="17"/>
    </x:row>
    <x:row r="21" ht="21" customHeight="1">
      <x:c r="A21" s="17" t="str">
        <x:v>17 giao dịch khớp lệnh; 93 dòng tiền; số dư và phí/thuế đã đối chiếu.</x:v>
      </x:c>
      <x:c r="B21" s="17"/>
      <x:c r="C21" s="17"/>
      <x:c r="D21" s="17"/>
      <x:c r="E21" s="17"/>
      <x:c r="F21" s="17" t="str">
        <x:v>2026-09</x:v>
      </x:c>
      <x:c r="G21" s="22" t="n">
        <x:f>'Daily'!B462</x:f>
        <x:v>232420</x:v>
      </x:c>
      <x:c r="H21" s="17"/>
      <x:c r="I21" s="17"/>
      <x:c r="J21" s="17"/>
      <x:c r="K21" s="17"/>
      <x:c r="L21" s="17"/>
      <x:c r="M21" s="17"/>
      <x:c r="N21" s="17"/>
    </x:row>
    <x:row r="22" ht="21" customHeight="1">
      <x:c r="A22" s="17" t="str">
        <x:v>FPT_WFT 20: thiếu sự kiện; không cộng thêm vào ledger FPT 220.</x:v>
      </x:c>
      <x:c r="B22" s="17"/>
      <x:c r="C22" s="17"/>
      <x:c r="D22" s="17"/>
      <x:c r="E22" s="17"/>
      <x:c r="F22" s="17" t="str">
        <x:v>2026-10</x:v>
      </x:c>
      <x:c r="G22" s="22" t="n">
        <x:f>'Daily'!B488</x:f>
        <x:v>327420</x:v>
      </x:c>
      <x:c r="H22" s="17"/>
      <x:c r="I22" s="17"/>
      <x:c r="J22" s="17"/>
      <x:c r="K22" s="17"/>
      <x:c r="L22" s="17"/>
      <x:c r="M22" s="17"/>
      <x:c r="N22" s="17"/>
    </x:row>
    <x:row r="23" ht="21" customHeight="1">
      <x:c r="A23" s="17" t="str">
        <x:v>Giá khớp không phải giá EOD; giá lịch sử TCBS chưa qualify adjustment.</x:v>
      </x:c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 ht="21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 ht="21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 ht="21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 ht="21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 ht="21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 ht="21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 ht="21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 ht="21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 ht="21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 ht="21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 ht="21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 ht="21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 ht="21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 ht="21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 ht="21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 ht="21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 ht="21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  <x:row r="41" ht="21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</x:row>
    <x:row r="42" ht="21" customHeight="1">
      <x:c r="A42" s="17" t="str">
        <x:v>23/10: chỉ có thể lập subtotal tham chiếu, chưa phải NAV (xem báo cáo).</x:v>
      </x:c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</x:row>
    <x:row r="43" ht="21" customHeight="1">
      <x:c r="A43" s="17" t="str">
        <x:v>Bốn file gốc giữ nguyên; không import SQLite hay kích hoạt NAV/scoring.</x:v>
      </x:c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</x:row>
    <x:row r="44" ht="21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</x:row>
    <x:row r="45" ht="21" customHeight="1">
      <x:c r="A45" s="17" t="str">
        <x:v>Nguồn: *_A = kỳ 2025; *_B = kỳ 2026. Hash và dòng nguồn ở các bảng.</x:v>
      </x:c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</x:row>
    <x:row r="46" ht="21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</x:row>
    <x:row r="47" ht="21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</x:row>
    <x:row r="48" ht="21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</x:row>
    <x:row r="49" ht="21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</x:row>
    <x:row r="50" ht="21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</x:row>
    <x:row r="51" ht="21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</x:row>
    <x:row r="52" ht="21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</x:row>
    <x:row r="53" ht="21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</x:row>
    <x:row r="54" ht="21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</x:row>
    <x:row r="55" ht="21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</x:row>
    <x:row r="56" ht="21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</x:row>
    <x:row r="57" ht="21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</x:row>
    <x:row r="58" ht="21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</x:row>
    <x:row r="59" ht="21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</x:row>
    <x:row r="60" ht="21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</x:row>
    <x:row r="61" ht="21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</x:row>
    <x:row r="62" ht="21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</x:row>
    <x:row r="63" ht="21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</x:row>
    <x:row r="64" ht="21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</x:row>
    <x:row r="65" ht="21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</x:row>
    <x:row r="66" ht="21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</x:row>
    <x:row r="67" ht="21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</x:row>
    <x:row r="68" ht="21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</x:row>
    <x:row r="69" ht="21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</x:row>
    <x:row r="70" ht="21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</x:row>
    <x:row r="71" ht="21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</x:row>
    <x:row r="72" ht="21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</x:row>
    <x:row r="73" ht="21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</x:row>
    <x:row r="74" ht="21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</x:row>
    <x:row r="75" ht="21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</x:row>
    <x:row r="76" ht="21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</x:row>
    <x:row r="77" ht="21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</x:row>
    <x:row r="78" ht="21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</x:row>
    <x:row r="79" ht="21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</x:row>
    <x:row r="80" ht="21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</x:row>
    <x:row r="81" ht="21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</x:row>
    <x:row r="82" ht="21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</x:row>
    <x:row r="83" ht="21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</x:row>
    <x:row r="84" ht="21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</x:row>
    <x:row r="85" ht="21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</x:row>
    <x:row r="86" ht="21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</x:row>
    <x:row r="87" ht="21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</x:row>
    <x:row r="88" ht="21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</x:row>
    <x:row r="89" ht="21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</x:row>
    <x:row r="90" ht="21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</x:row>
    <x:row r="91" ht="21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</x:row>
    <x:row r="92" ht="21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</x:row>
    <x:row r="93" ht="21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</x:row>
    <x:row r="94" ht="21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</x:row>
    <x:row r="95" ht="21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</x:row>
    <x:row r="96" ht="21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</x:row>
    <x:row r="97" ht="21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</x:row>
    <x:row r="98" ht="21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</x:row>
    <x:row r="99" ht="21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</x:row>
    <x:row r="100" ht="21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</x:row>
    <x:row r="101" ht="21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</x:row>
    <x:row r="102" ht="21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</x:row>
    <x:row r="103" ht="21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</x:row>
    <x:row r="104" ht="21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</x:row>
    <x:row r="105" ht="21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</x:row>
    <x:row r="106" ht="21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</x:row>
    <x:row r="107" ht="21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</x:row>
    <x:row r="108" ht="21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</x:row>
    <x:row r="109" ht="21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</x:row>
    <x:row r="110" ht="21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</x:row>
    <x:row r="111" ht="21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</x:row>
    <x:row r="112" ht="21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</x:row>
    <x:row r="113" ht="21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</x:row>
    <x:row r="114" ht="21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</x:row>
    <x:row r="115" ht="21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</x:row>
    <x:row r="116" ht="21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</x:row>
    <x:row r="117" ht="21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</x:row>
    <x:row r="118" ht="21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</x:row>
    <x:row r="119" ht="21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</x:row>
    <x:row r="120" ht="21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</x:row>
    <x:row r="121" ht="21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</x:row>
    <x:row r="122" ht="21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</x:row>
    <x:row r="123" ht="21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</x:row>
    <x:row r="124" ht="21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</x:row>
    <x:row r="125" ht="21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</x:row>
    <x:row r="126" ht="21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</x:row>
    <x:row r="127" ht="21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</x:row>
    <x:row r="128" ht="21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</x:row>
    <x:row r="129" ht="21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</x:row>
    <x:row r="130" ht="21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</x:row>
    <x:row r="131" ht="21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</x:row>
    <x:row r="132" ht="21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</x:row>
    <x:row r="133" ht="21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</x:row>
    <x:row r="134" ht="21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</x:row>
    <x:row r="135" ht="21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</x:row>
    <x:row r="136" ht="21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</x:row>
    <x:row r="137" ht="21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</x:row>
    <x:row r="138" ht="21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</x:row>
    <x:row r="139" ht="21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</x:row>
    <x:row r="140" ht="21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</x:row>
    <x:row r="141" ht="21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</x:row>
    <x:row r="142" ht="21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</x:row>
    <x:row r="143" ht="21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</x:row>
    <x:row r="144" ht="21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</x:row>
    <x:row r="145" ht="21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</x:row>
    <x:row r="146" ht="21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</x:row>
    <x:row r="147" ht="21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</x:row>
    <x:row r="148" ht="21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</x:row>
    <x:row r="149" ht="21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</x:row>
    <x:row r="150" ht="21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</x:row>
    <x:row r="151" ht="21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</x:row>
    <x:row r="152" ht="21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</x:row>
    <x:row r="153" ht="21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</x:row>
    <x:row r="154" ht="21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</x:row>
    <x:row r="155" ht="21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</x:row>
    <x:row r="156" ht="21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</x:row>
    <x:row r="157" ht="21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</x:row>
    <x:row r="158" ht="21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</x:row>
    <x:row r="159" ht="21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</x:row>
    <x:row r="160" ht="21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</x:row>
    <x:row r="161" ht="21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</x:row>
    <x:row r="162" ht="21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</x:row>
    <x:row r="163" ht="21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</x:row>
    <x:row r="164" ht="21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</x:row>
    <x:row r="165" ht="21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</x:row>
    <x:row r="166" ht="21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</x:row>
    <x:row r="167" ht="21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</x:row>
    <x:row r="168" ht="21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</x:row>
    <x:row r="169" ht="21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</x:row>
    <x:row r="170" ht="21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</x:row>
    <x:row r="171" ht="21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</x:row>
    <x:row r="172" ht="21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</x:row>
    <x:row r="173" ht="21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</x:row>
    <x:row r="174" ht="21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</x:row>
    <x:row r="175" ht="21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</x:row>
    <x:row r="176" ht="21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</x:row>
    <x:row r="177" ht="21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</x:row>
    <x:row r="178" ht="21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</x:row>
    <x:row r="179" ht="21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</x:row>
    <x:row r="180" ht="21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</x:row>
    <x:row r="181" ht="21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</x:row>
    <x:row r="182" ht="21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</x:row>
    <x:row r="183" ht="21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</x:row>
    <x:row r="184" ht="21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</x:row>
    <x:row r="185" ht="21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</x:row>
    <x:row r="186" ht="21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</x:row>
    <x:row r="187" ht="21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</x:row>
    <x:row r="188" ht="21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</x:row>
    <x:row r="189" ht="21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</x:row>
    <x:row r="190" ht="21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</x:row>
    <x:row r="191" ht="21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</x:row>
    <x:row r="192" ht="21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</x:row>
    <x:row r="193" ht="21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</x:row>
    <x:row r="194" ht="21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</x:row>
    <x:row r="195" ht="21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</x:row>
    <x:row r="196" ht="21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</x:row>
    <x:row r="197" ht="21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</x:row>
    <x:row r="198" ht="21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</x:row>
    <x:row r="199" ht="21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</x:row>
    <x:row r="200" ht="21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</x:row>
    <x:row r="201" ht="21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</x:row>
    <x:row r="202" ht="21" customHeight="1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</x:row>
    <x:row r="203" ht="21" customHeight="1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</x:row>
    <x:row r="204" ht="21" customHeight="1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</x:row>
    <x:row r="205" ht="21" customHeight="1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</x:row>
    <x:row r="206" ht="21" customHeight="1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</x:row>
    <x:row r="207" ht="21" customHeight="1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</x:row>
    <x:row r="208" ht="21" customHeight="1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</x:row>
    <x:row r="209" ht="21" customHeight="1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</x:row>
    <x:row r="210" ht="21" customHeight="1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</x:row>
    <x:row r="211" ht="21" customHeight="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</x:row>
    <x:row r="212" ht="21" customHeight="1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</x:row>
    <x:row r="213" ht="21" customHeight="1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</x:row>
    <x:row r="214" ht="21" customHeight="1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</x:row>
    <x:row r="215" ht="21" customHeight="1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</x:row>
    <x:row r="216" ht="21" customHeight="1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</x:row>
    <x:row r="217" ht="21" customHeight="1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</x:row>
    <x:row r="218" ht="21" customHeight="1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</x:row>
    <x:row r="219" ht="21" customHeight="1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</x:row>
    <x:row r="220" ht="21" customHeight="1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</x:row>
    <x:row r="221" ht="21" customHeight="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</x:row>
    <x:row r="222" ht="21" customHeight="1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</x:row>
    <x:row r="223" ht="21" customHeight="1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</x:row>
    <x:row r="224" ht="21" customHeight="1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</x:row>
    <x:row r="225" ht="21" customHeight="1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</x:row>
    <x:row r="226" ht="21" customHeight="1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</x:row>
    <x:row r="227" ht="21" customHeight="1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</x:row>
    <x:row r="228" ht="21" customHeight="1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</x:row>
    <x:row r="229" ht="21" customHeight="1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</x:row>
    <x:row r="230" ht="21" customHeight="1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</x:row>
    <x:row r="231" ht="21" customHeight="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</x:row>
    <x:row r="232" ht="21" customHeight="1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</x:row>
    <x:row r="233" ht="21" customHeight="1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</x:row>
    <x:row r="234" ht="21" customHeight="1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</x:row>
    <x:row r="235" ht="21" customHeight="1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</x:row>
    <x:row r="236" ht="21" customHeight="1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</x:row>
    <x:row r="237" ht="21" customHeight="1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</x:row>
    <x:row r="238" ht="21" customHeight="1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</x:row>
    <x:row r="239" ht="21" customHeight="1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</x:row>
    <x:row r="240" ht="21" customHeight="1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</x:row>
    <x:row r="241" ht="21" customHeight="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</x:row>
    <x:row r="242" ht="21" customHeight="1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</x:row>
    <x:row r="243" ht="21" customHeight="1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</x:row>
    <x:row r="244" ht="21" customHeight="1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</x:row>
    <x:row r="245" ht="21" customHeight="1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</x:row>
    <x:row r="246" ht="21" customHeight="1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</x:row>
    <x:row r="247" ht="21" customHeight="1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</x:row>
    <x:row r="248" ht="21" customHeight="1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</x:row>
    <x:row r="249" ht="21" customHeight="1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</x:row>
    <x:row r="250" ht="21" customHeight="1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</x:row>
    <x:row r="251" ht="21" customHeight="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</x:row>
    <x:row r="252" ht="21" customHeight="1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</x:row>
    <x:row r="253" ht="21" customHeight="1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</x:row>
    <x:row r="254" ht="21" customHeight="1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</x:row>
    <x:row r="255" ht="21" customHeight="1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</x:row>
    <x:row r="256" ht="21" customHeight="1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</x:row>
    <x:row r="257" ht="21" customHeight="1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</x:row>
    <x:row r="258" ht="21" customHeight="1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</x:row>
    <x:row r="259" ht="21" customHeight="1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</x:row>
    <x:row r="260" ht="21" customHeight="1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</x:row>
    <x:row r="261" ht="21" customHeight="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</x:row>
    <x:row r="262" ht="21" customHeight="1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</x:row>
    <x:row r="263" ht="21" customHeight="1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</x:row>
    <x:row r="264" ht="21" customHeight="1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</x:row>
    <x:row r="265" ht="21" customHeight="1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</x:row>
    <x:row r="266" ht="21" customHeight="1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</x:row>
    <x:row r="267" ht="21" customHeight="1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</x:row>
    <x:row r="268" ht="21" customHeight="1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</x:row>
    <x:row r="269" ht="21" customHeight="1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</x:row>
    <x:row r="270" ht="21" customHeight="1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</x:row>
    <x:row r="271" ht="21" customHeight="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</x:row>
    <x:row r="272" ht="21" customHeight="1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</x:row>
    <x:row r="273" ht="21" customHeight="1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</x:row>
    <x:row r="274" ht="21" customHeight="1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</x:row>
    <x:row r="275" ht="21" customHeight="1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</x:row>
    <x:row r="276" ht="21" customHeight="1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</x:row>
    <x:row r="277" ht="21" customHeight="1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</x:row>
    <x:row r="278" ht="21" customHeight="1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</x:row>
    <x:row r="279" ht="21" customHeight="1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</x:row>
    <x:row r="280" ht="21" customHeight="1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</x:row>
    <x:row r="281" ht="21" customHeight="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</x:row>
    <x:row r="282" ht="21" customHeight="1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</x:row>
    <x:row r="283" ht="21" customHeight="1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</x:row>
    <x:row r="284" ht="21" customHeight="1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</x:row>
    <x:row r="285" ht="21" customHeight="1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</x:row>
    <x:row r="286" ht="21" customHeight="1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</x:row>
    <x:row r="287" ht="21" customHeight="1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</x:row>
    <x:row r="288" ht="21" customHeight="1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</x:row>
    <x:row r="289" ht="21" customHeight="1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</x:row>
    <x:row r="290" ht="21" customHeight="1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</x:row>
    <x:row r="291" ht="21" customHeight="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</x:row>
    <x:row r="292" ht="21" customHeight="1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</x:row>
    <x:row r="293" ht="21" customHeight="1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</x:row>
    <x:row r="294" ht="21" customHeight="1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</x:row>
    <x:row r="295" ht="21" customHeight="1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</x:row>
    <x:row r="296" ht="21" customHeight="1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</x:row>
    <x:row r="297" ht="21" customHeight="1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</x:row>
    <x:row r="298" ht="21" customHeight="1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</x:row>
    <x:row r="299" ht="21" customHeight="1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</x:row>
    <x:row r="300" ht="21" customHeight="1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</x:row>
    <x:row r="301" ht="21" customHeight="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</x:row>
    <x:row r="302" ht="21" customHeight="1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</x:row>
    <x:row r="303" ht="21" customHeight="1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</x:row>
    <x:row r="304" ht="21" customHeight="1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</x:row>
    <x:row r="305" ht="21" customHeight="1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</x:row>
    <x:row r="306" ht="21" customHeight="1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</x:row>
    <x:row r="307" ht="21" customHeight="1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</x:row>
    <x:row r="308" ht="21" customHeight="1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</x:row>
    <x:row r="309" ht="21" customHeight="1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</x:row>
    <x:row r="310" ht="21" customHeight="1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</x:row>
    <x:row r="311" ht="21" customHeight="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</x:row>
    <x:row r="312" ht="21" customHeight="1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</x:row>
    <x:row r="313" ht="21" customHeight="1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</x:row>
    <x:row r="314" ht="21" customHeight="1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</x:row>
    <x:row r="315" ht="21" customHeight="1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</x:row>
    <x:row r="316" ht="21" customHeight="1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</x:row>
    <x:row r="317" ht="21" customHeight="1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</x:row>
    <x:row r="318" ht="21" customHeight="1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</x:row>
    <x:row r="319" ht="21" customHeight="1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</x:row>
    <x:row r="320" ht="21" customHeight="1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</x:row>
    <x:row r="321" ht="21" customHeight="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</x:row>
    <x:row r="322" ht="21" customHeight="1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</x:row>
    <x:row r="323" ht="21" customHeight="1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</x:row>
    <x:row r="324" ht="21" customHeight="1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</x:row>
    <x:row r="325" ht="21" customHeight="1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</x:row>
    <x:row r="326" ht="21" customHeight="1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</x:row>
    <x:row r="327" ht="21" customHeight="1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</x:row>
    <x:row r="328" ht="21" customHeight="1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</x:row>
    <x:row r="329" ht="21" customHeight="1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</x:row>
    <x:row r="330" ht="21" customHeight="1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</x:row>
    <x:row r="331" ht="21" customHeight="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</x:row>
    <x:row r="332" ht="21" customHeight="1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</x:row>
    <x:row r="333" ht="21" customHeight="1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</x:row>
    <x:row r="334" ht="21" customHeight="1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</x:row>
    <x:row r="335" ht="21" customHeight="1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</x:row>
    <x:row r="336" ht="21" customHeight="1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</x:row>
    <x:row r="337" ht="21" customHeight="1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</x:row>
    <x:row r="338" ht="21" customHeight="1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</x:row>
    <x:row r="339" ht="21" customHeight="1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</x:row>
    <x:row r="340" ht="21" customHeight="1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</x:row>
    <x:row r="341" ht="21" customHeight="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</x:row>
    <x:row r="342" ht="21" customHeight="1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</x:row>
    <x:row r="343" ht="21" customHeight="1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</x:row>
    <x:row r="344" ht="21" customHeight="1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</x:row>
    <x:row r="345" ht="21" customHeight="1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</x:row>
    <x:row r="346" ht="21" customHeight="1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</x:row>
    <x:row r="347" ht="21" customHeight="1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</x:row>
    <x:row r="348" ht="21" customHeight="1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</x:row>
    <x:row r="349" ht="21" customHeight="1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</x:row>
    <x:row r="350" ht="21" customHeight="1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</x:row>
    <x:row r="351" ht="21" customHeight="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</x:row>
    <x:row r="352" ht="21" customHeight="1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</x:row>
    <x:row r="353" ht="21" customHeight="1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</x:row>
    <x:row r="354" ht="21" customHeight="1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</x:row>
    <x:row r="355" ht="21" customHeight="1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</x:row>
    <x:row r="356" ht="21" customHeight="1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</x:row>
    <x:row r="357" ht="21" customHeight="1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</x:row>
    <x:row r="358" ht="21" customHeight="1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</x:row>
    <x:row r="359" ht="21" customHeight="1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</x:row>
    <x:row r="360" ht="21" customHeight="1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</x:row>
    <x:row r="361" ht="21" customHeight="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</x:row>
    <x:row r="362" ht="21" customHeight="1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</x:row>
    <x:row r="363" ht="21" customHeight="1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</x:row>
    <x:row r="364" ht="21" customHeight="1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</x:row>
    <x:row r="365" ht="21" customHeight="1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</x:row>
    <x:row r="366" ht="21" customHeight="1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</x:row>
    <x:row r="367" ht="21" customHeight="1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</x:row>
    <x:row r="368" ht="21" customHeight="1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</x:row>
    <x:row r="369" ht="21" customHeight="1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</x:row>
    <x:row r="370" ht="21" customHeight="1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</x:row>
    <x:row r="371" ht="21" customHeight="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</x:row>
    <x:row r="372" ht="21" customHeight="1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</x:row>
    <x:row r="373" ht="21" customHeight="1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</x:row>
    <x:row r="374" ht="21" customHeight="1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</x:row>
    <x:row r="375" ht="21" customHeight="1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</x:row>
    <x:row r="376" ht="21" customHeight="1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</x:row>
    <x:row r="377" ht="21" customHeight="1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</x:row>
    <x:row r="378" ht="21" customHeight="1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</x:row>
    <x:row r="379" ht="21" customHeight="1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</x:row>
    <x:row r="380" ht="21" customHeight="1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</x:row>
    <x:row r="381" ht="21" customHeight="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</x:row>
    <x:row r="382" ht="21" customHeight="1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</x:row>
    <x:row r="383" ht="21" customHeight="1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</x:row>
    <x:row r="384" ht="21" customHeight="1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</x:row>
    <x:row r="385" ht="21" customHeight="1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</x:row>
    <x:row r="386" ht="21" customHeight="1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</x:row>
    <x:row r="387" ht="21" customHeight="1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</x:row>
    <x:row r="388" ht="21" customHeight="1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</x:row>
    <x:row r="389" ht="21" customHeight="1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</x:row>
    <x:row r="390" ht="21" customHeight="1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</x:row>
    <x:row r="391" ht="21" customHeight="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</x:row>
    <x:row r="392" ht="21" customHeight="1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</x:row>
    <x:row r="393" ht="21" customHeight="1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</x:row>
    <x:row r="394" ht="21" customHeight="1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</x:row>
    <x:row r="395" ht="21" customHeight="1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</x:row>
    <x:row r="396" ht="21" customHeight="1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</x:row>
    <x:row r="397" ht="21" customHeight="1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</x:row>
    <x:row r="398" ht="21" customHeight="1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</x:row>
    <x:row r="399" ht="21" customHeight="1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</x:row>
    <x:row r="400" ht="21" customHeight="1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</x:row>
    <x:row r="401" ht="21" customHeight="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</x:row>
    <x:row r="402" ht="21" customHeight="1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</x:row>
    <x:row r="403" ht="21" customHeight="1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</x:row>
    <x:row r="404" ht="21" customHeight="1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</x:row>
    <x:row r="405" ht="21" customHeight="1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</x:row>
    <x:row r="406" ht="21" customHeight="1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</x:row>
    <x:row r="407" ht="21" customHeight="1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</x:row>
    <x:row r="408" ht="21" customHeight="1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</x:row>
    <x:row r="409" ht="21" customHeight="1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</x:row>
    <x:row r="410" ht="21" customHeight="1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</x:row>
    <x:row r="411" ht="21" customHeight="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</x:row>
    <x:row r="412" ht="21" customHeight="1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</x:row>
    <x:row r="413" ht="21" customHeight="1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</x:row>
    <x:row r="414" ht="21" customHeight="1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</x:row>
    <x:row r="415" ht="21" customHeight="1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</x:row>
    <x:row r="416" ht="21" customHeight="1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</x:row>
    <x:row r="417" ht="21" customHeight="1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</x:row>
    <x:row r="418" ht="21" customHeight="1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</x:row>
    <x:row r="419" ht="21" customHeight="1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</x:row>
    <x:row r="420" ht="21" customHeight="1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</x:row>
    <x:row r="421" ht="21" customHeight="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</x:row>
    <x:row r="422" ht="21" customHeight="1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</x:row>
    <x:row r="423" ht="21" customHeight="1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</x:row>
    <x:row r="424" ht="21" customHeight="1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</x:row>
    <x:row r="425" ht="21" customHeight="1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</x:row>
    <x:row r="426" ht="21" customHeight="1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</x:row>
    <x:row r="427" ht="21" customHeight="1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</x:row>
    <x:row r="428" ht="21" customHeight="1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</x:row>
    <x:row r="429" ht="21" customHeight="1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</x:row>
    <x:row r="430" ht="21" customHeight="1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</x:row>
    <x:row r="431" ht="21" customHeight="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</x:row>
    <x:row r="432" ht="21" customHeight="1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</x:row>
    <x:row r="433" ht="21" customHeight="1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</x:row>
    <x:row r="434" ht="21" customHeight="1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</x:row>
    <x:row r="435" ht="21" customHeight="1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</x:row>
    <x:row r="436" ht="21" customHeight="1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</x:row>
    <x:row r="437" ht="21" customHeight="1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</x:row>
    <x:row r="438" ht="21" customHeight="1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</x:row>
    <x:row r="439" ht="21" customHeight="1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</x:row>
    <x:row r="440" ht="21" customHeight="1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</x:row>
    <x:row r="441" ht="21" customHeight="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</x:row>
    <x:row r="442" ht="21" customHeight="1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</x:row>
    <x:row r="443" ht="21" customHeight="1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</x:row>
    <x:row r="444" ht="21" customHeight="1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</x:row>
    <x:row r="445" ht="21" customHeight="1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</x:row>
    <x:row r="446" ht="21" customHeight="1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</x:row>
    <x:row r="447" ht="21" customHeight="1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</x:row>
    <x:row r="448" ht="21" customHeight="1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</x:row>
    <x:row r="449" ht="21" customHeight="1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</x:row>
    <x:row r="450" ht="21" customHeight="1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</x:row>
    <x:row r="451" ht="21" customHeight="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</x:row>
    <x:row r="452" ht="21" customHeight="1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</x:row>
    <x:row r="453" ht="21" customHeight="1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</x:row>
    <x:row r="454" ht="21" customHeight="1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</x:row>
    <x:row r="455" ht="21" customHeight="1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</x:row>
    <x:row r="456" ht="21" customHeight="1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</x:row>
    <x:row r="457" ht="21" customHeight="1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</x:row>
    <x:row r="458" ht="21" customHeight="1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</x:row>
    <x:row r="459" ht="21" customHeight="1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</x:row>
    <x:row r="460" ht="21" customHeight="1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</x:row>
    <x:row r="461" ht="21" customHeight="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</x:row>
    <x:row r="462" ht="21" customHeight="1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</x:row>
    <x:row r="463" ht="21" customHeight="1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</x:row>
    <x:row r="464" ht="21" customHeight="1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</x:row>
    <x:row r="465" ht="21" customHeight="1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</x:row>
    <x:row r="466" ht="21" customHeight="1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</x:row>
    <x:row r="467" ht="21" customHeight="1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</x:row>
    <x:row r="468" ht="21" customHeight="1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</x:row>
    <x:row r="469" ht="21" customHeight="1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</x:row>
    <x:row r="470" ht="21" customHeight="1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</x:row>
    <x:row r="471" ht="21" customHeight="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</x:row>
    <x:row r="472" ht="21" customHeight="1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</x:row>
    <x:row r="473" ht="21" customHeight="1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</x:row>
    <x:row r="474" ht="21" customHeight="1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</x:row>
    <x:row r="475" ht="21" customHeight="1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</x:row>
    <x:row r="476" ht="21" customHeight="1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</x:row>
    <x:row r="477" ht="21" customHeight="1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</x:row>
    <x:row r="478" ht="21" customHeight="1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</x:row>
    <x:row r="479" ht="21" customHeight="1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</x:row>
    <x:row r="480" ht="21" customHeight="1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</x:row>
    <x:row r="481" ht="21" customHeight="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</x:row>
    <x:row r="482" ht="21" customHeight="1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</x:row>
    <x:row r="483" ht="21" customHeight="1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</x:row>
    <x:row r="484" ht="21" customHeight="1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</x:row>
    <x:row r="485" ht="21" customHeight="1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</x:row>
    <x:row r="486" ht="21" customHeight="1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</x:row>
    <x:row r="487" ht="21" customHeight="1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</x:row>
    <x:row r="488" ht="21" customHeight="1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</x:row>
    <x:row r="489" ht="21" customHeight="1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</x:row>
    <x:row r="490" ht="21" customHeight="1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</x:row>
    <x:row r="491" ht="21" customHeight="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</x:row>
    <x:row r="492" ht="21" customHeight="1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</x:row>
    <x:row r="493" ht="21" customHeight="1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</x:row>
    <x:row r="494" ht="21" customHeight="1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</x:row>
    <x:row r="495" ht="21" customHeight="1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</x:row>
    <x:row r="496" ht="21" customHeight="1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</x:row>
    <x:row r="497" ht="21" customHeight="1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</x:row>
    <x:row r="498" ht="21" customHeight="1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</x:row>
    <x:row r="499" ht="21" customHeight="1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</x:row>
    <x:row r="500" ht="21" customHeight="1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</x:row>
    <x:row r="501" ht="21" customHeight="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</x:row>
    <x:row r="502" ht="21" customHeight="1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</x:row>
    <x:row r="503" ht="21" customHeight="1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</x:row>
    <x:row r="504" ht="21" customHeight="1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</x:row>
    <x:row r="505" ht="21" customHeight="1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</x:row>
    <x:row r="506" ht="21" customHeight="1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</x:row>
    <x:row r="507" ht="21" customHeight="1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</x:row>
    <x:row r="508" ht="21" customHeight="1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</x:row>
    <x:row r="509" ht="21" customHeight="1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</x:row>
    <x:row r="510" ht="21" customHeight="1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</x:row>
    <x:row r="511" ht="21" customHeight="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</x:row>
    <x:row r="512" ht="21" customHeight="1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</x:row>
    <x:row r="513" ht="21" customHeight="1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</x:row>
    <x:row r="514" ht="21" customHeight="1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</x:row>
    <x:row r="515" ht="21" customHeight="1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</x:row>
    <x:row r="516" ht="21" customHeight="1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</x:row>
    <x:row r="517" ht="21" customHeight="1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</x:row>
    <x:row r="518" ht="21" customHeight="1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</x:row>
    <x:row r="519" ht="21" customHeight="1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</x:row>
    <x:row r="520" ht="21" customHeight="1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</x:row>
  </x:sheetData>
  <x:pageMargins left="0.7" right="0.7" top="0.75" bottom="0.75" header="0.3" footer="0.3"/>
  <x:drawing xmlns:r="http://schemas.openxmlformats.org/officeDocument/2006/relationships" r:id="R01c15089feaa403b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22" hidden="0" customWidth="1"/>
    <x:col min="5" max="5" width="22" hidden="0" customWidth="1"/>
    <x:col min="6" max="6" width="19" hidden="0" customWidth="1"/>
    <x:col min="7" max="7" width="17" hidden="0" customWidth="1"/>
    <x:col min="8" max="8" width="19" hidden="0" customWidth="1"/>
    <x:col min="9" max="9" width="21" hidden="0" customWidth="1"/>
    <x:col min="10" max="10" width="22" hidden="0" customWidth="1"/>
  </x:cols>
  <x:sheetData>
    <x:row r="1" ht="21" customHeight="1">
      <x:c r="A1" s="17"/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26" customHeight="1">
      <x:c r="A2" s="18" t="str">
        <x:v>Historical NAV — thành phần theo ngày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21" customHeight="1">
      <x:c r="A3" s="17" t="str">
        <x:v>n.a.: chưa có giá / nghĩa vụ đủ để tính NAV. Cash được roll theo sao kê; không coi cuối tuần là phiên giá mới.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 ht="30" customHeight="1">
      <x:c r="A4" s="7" t="str">
        <x:v>Ngày</x:v>
      </x:c>
      <x:c r="B4" s="7" t="str">
        <x:v>Tiền cuối ngày</x:v>
      </x:c>
      <x:c r="C4" s="7" t="str">
        <x:v>Tiền phát sinh</x:v>
      </x:c>
      <x:c r="D4" s="7" t="str">
        <x:v>Vốn ngoài lũy kế</x:v>
      </x:c>
      <x:c r="E4" s="7" t="str">
        <x:v>Cổ tức net lũy kế</x:v>
      </x:c>
      <x:c r="F4" s="7" t="str">
        <x:v>Giá trị CK</x:v>
      </x:c>
      <x:c r="G4" s="7" t="str">
        <x:v>Phải thu</x:v>
      </x:c>
      <x:c r="H4" s="7" t="str">
        <x:v>Nợ / phải trả</x:v>
      </x:c>
      <x:c r="I4" s="7" t="str">
        <x:v>NAV tính lại</x:v>
      </x:c>
      <x:c r="J4" s="7" t="str">
        <x:v>NAV broker</x:v>
      </x:c>
      <x:c r="K4" s="17"/>
      <x:c r="L4" s="17"/>
      <x:c r="M4" s="17"/>
      <x:c r="N4" s="17"/>
    </x:row>
    <x:row r="5" ht="21" customHeight="1">
      <x:c r="A5" s="27" t="d">
        <x:v>2025-06-30T00:00:00.000Z</x:v>
      </x:c>
      <x:c r="B5" s="22" t="n">
        <x:f>SUMIFS('Cash'!$C$5:$C$97,'Cash'!$A$5:$A$97,"&lt;="&amp;A5)</x:f>
        <x:v>10000000</x:v>
      </x:c>
      <x:c r="C5" s="22" t="n">
        <x:f>SUMIFS('Cash'!$C$5:$C$97,'Cash'!$A$5:$A$97,A5)</x:f>
        <x:v>10000000</x:v>
      </x:c>
      <x:c r="D5" s="22" t="n">
        <x:f>SUMIFS('Cash'!$C$5:$C$97,'Cash'!$A$5:$A$97,"&lt;="&amp;A5,'Cash'!$B$5:$B$97,"EXTERNAL_FUNDING")</x:f>
        <x:v>10000000</x:v>
      </x:c>
      <x:c r="E5" s="22" t="n">
        <x:f>SUMIFS('Cash'!$C$5:$C$97,'Cash'!$A$5:$A$97,"&lt;="&amp;A5,'Cash'!$B$5:$B$97,"DIVIDEND_NET")</x:f>
        <x:v>0</x:v>
      </x:c>
      <x:c r="F5" s="30" t="str">
        <x:v>n.a.</x:v>
      </x:c>
      <x:c r="G5" s="30" t="str">
        <x:v>n.a.</x:v>
      </x:c>
      <x:c r="H5" s="30" t="str">
        <x:v>n.a.</x:v>
      </x:c>
      <x:c r="I5" s="30" t="str">
        <x:f>IF(COUNT(B5,F5:H5)=4,B5+F5+G5-H5,"n.a.")</x:f>
        <x:v>n.a.</x:v>
      </x:c>
      <x:c r="J5" s="30" t="str">
        <x:v>n.a.</x:v>
      </x:c>
      <x:c r="K5" s="17"/>
      <x:c r="L5" s="17"/>
      <x:c r="M5" s="17"/>
      <x:c r="N5" s="17"/>
    </x:row>
    <x:row r="6" ht="21" customHeight="1">
      <x:c r="A6" s="27" t="d">
        <x:v>2025-07-01T00:00:00.000Z</x:v>
      </x:c>
      <x:c r="B6" s="22" t="n">
        <x:f>SUMIFS('Cash'!$C$5:$C$97,'Cash'!$A$5:$A$97,"&lt;="&amp;A6)</x:f>
        <x:v>4148245</x:v>
      </x:c>
      <x:c r="C6" s="22" t="n">
        <x:f>SUMIFS('Cash'!$C$5:$C$97,'Cash'!$A$5:$A$97,A6)</x:f>
        <x:v>-5851755</x:v>
      </x:c>
      <x:c r="D6" s="22" t="n">
        <x:f>SUMIFS('Cash'!$C$5:$C$97,'Cash'!$A$5:$A$97,"&lt;="&amp;A6,'Cash'!$B$5:$B$97,"EXTERNAL_FUNDING")</x:f>
        <x:v>10000000</x:v>
      </x:c>
      <x:c r="E6" s="22" t="n">
        <x:f>SUMIFS('Cash'!$C$5:$C$97,'Cash'!$A$5:$A$97,"&lt;="&amp;A6,'Cash'!$B$5:$B$97,"DIVIDEND_NET")</x:f>
        <x:v>0</x:v>
      </x:c>
      <x:c r="F6" s="30" t="str">
        <x:v>n.a.</x:v>
      </x:c>
      <x:c r="G6" s="30" t="str">
        <x:v>n.a.</x:v>
      </x:c>
      <x:c r="H6" s="30" t="str">
        <x:v>n.a.</x:v>
      </x:c>
      <x:c r="I6" s="30" t="str">
        <x:f>IF(COUNT(B6,F6:H6)=4,B6+F6+G6-H6,"n.a.")</x:f>
        <x:v>n.a.</x:v>
      </x:c>
      <x:c r="J6" s="30" t="str">
        <x:v>n.a.</x:v>
      </x:c>
      <x:c r="K6" s="17"/>
      <x:c r="L6" s="17"/>
      <x:c r="M6" s="17"/>
      <x:c r="N6" s="17"/>
    </x:row>
    <x:row r="7" ht="21" customHeight="1">
      <x:c r="A7" s="27" t="d">
        <x:v>2025-07-02T00:00:00.000Z</x:v>
      </x:c>
      <x:c r="B7" s="22" t="n">
        <x:f>SUMIFS('Cash'!$C$5:$C$97,'Cash'!$A$5:$A$97,"&lt;="&amp;A7)</x:f>
        <x:v>1637492</x:v>
      </x:c>
      <x:c r="C7" s="22" t="n">
        <x:f>SUMIFS('Cash'!$C$5:$C$97,'Cash'!$A$5:$A$97,A7)</x:f>
        <x:v>-2510753</x:v>
      </x:c>
      <x:c r="D7" s="22" t="n">
        <x:f>SUMIFS('Cash'!$C$5:$C$97,'Cash'!$A$5:$A$97,"&lt;="&amp;A7,'Cash'!$B$5:$B$97,"EXTERNAL_FUNDING")</x:f>
        <x:v>10000000</x:v>
      </x:c>
      <x:c r="E7" s="22" t="n">
        <x:f>SUMIFS('Cash'!$C$5:$C$97,'Cash'!$A$5:$A$97,"&lt;="&amp;A7,'Cash'!$B$5:$B$97,"DIVIDEND_NET")</x:f>
        <x:v>0</x:v>
      </x:c>
      <x:c r="F7" s="30" t="str">
        <x:v>n.a.</x:v>
      </x:c>
      <x:c r="G7" s="30" t="str">
        <x:v>n.a.</x:v>
      </x:c>
      <x:c r="H7" s="30" t="str">
        <x:v>n.a.</x:v>
      </x:c>
      <x:c r="I7" s="30" t="str">
        <x:f>IF(COUNT(B7,F7:H7)=4,B7+F7+G7-H7,"n.a.")</x:f>
        <x:v>n.a.</x:v>
      </x:c>
      <x:c r="J7" s="30" t="str">
        <x:v>n.a.</x:v>
      </x:c>
      <x:c r="K7" s="17"/>
      <x:c r="L7" s="17"/>
      <x:c r="M7" s="17"/>
      <x:c r="N7" s="17"/>
    </x:row>
    <x:row r="8" ht="21" customHeight="1">
      <x:c r="A8" s="27" t="d">
        <x:v>2025-07-03T00:00:00.000Z</x:v>
      </x:c>
      <x:c r="B8" s="22" t="n">
        <x:f>SUMIFS('Cash'!$C$5:$C$97,'Cash'!$A$5:$A$97,"&lt;="&amp;A8)</x:f>
        <x:v>1637492</x:v>
      </x:c>
      <x:c r="C8" s="22" t="n">
        <x:f>SUMIFS('Cash'!$C$5:$C$97,'Cash'!$A$5:$A$97,A8)</x:f>
        <x:v>0</x:v>
      </x:c>
      <x:c r="D8" s="22" t="n">
        <x:f>SUMIFS('Cash'!$C$5:$C$97,'Cash'!$A$5:$A$97,"&lt;="&amp;A8,'Cash'!$B$5:$B$97,"EXTERNAL_FUNDING")</x:f>
        <x:v>10000000</x:v>
      </x:c>
      <x:c r="E8" s="22" t="n">
        <x:f>SUMIFS('Cash'!$C$5:$C$97,'Cash'!$A$5:$A$97,"&lt;="&amp;A8,'Cash'!$B$5:$B$97,"DIVIDEND_NET")</x:f>
        <x:v>0</x:v>
      </x:c>
      <x:c r="F8" s="30" t="str">
        <x:v>n.a.</x:v>
      </x:c>
      <x:c r="G8" s="30" t="str">
        <x:v>n.a.</x:v>
      </x:c>
      <x:c r="H8" s="30" t="str">
        <x:v>n.a.</x:v>
      </x:c>
      <x:c r="I8" s="30" t="str">
        <x:f>IF(COUNT(B8,F8:H8)=4,B8+F8+G8-H8,"n.a.")</x:f>
        <x:v>n.a.</x:v>
      </x:c>
      <x:c r="J8" s="30" t="str">
        <x:v>n.a.</x:v>
      </x:c>
      <x:c r="K8" s="17"/>
      <x:c r="L8" s="17"/>
      <x:c r="M8" s="17"/>
      <x:c r="N8" s="17"/>
    </x:row>
    <x:row r="9" ht="21" customHeight="1">
      <x:c r="A9" s="27" t="d">
        <x:v>2025-07-04T00:00:00.000Z</x:v>
      </x:c>
      <x:c r="B9" s="22" t="n">
        <x:f>SUMIFS('Cash'!$C$5:$C$97,'Cash'!$A$5:$A$97,"&lt;="&amp;A9)</x:f>
        <x:v>1637492</x:v>
      </x:c>
      <x:c r="C9" s="22" t="n">
        <x:f>SUMIFS('Cash'!$C$5:$C$97,'Cash'!$A$5:$A$97,A9)</x:f>
        <x:v>0</x:v>
      </x:c>
      <x:c r="D9" s="22" t="n">
        <x:f>SUMIFS('Cash'!$C$5:$C$97,'Cash'!$A$5:$A$97,"&lt;="&amp;A9,'Cash'!$B$5:$B$97,"EXTERNAL_FUNDING")</x:f>
        <x:v>10000000</x:v>
      </x:c>
      <x:c r="E9" s="22" t="n">
        <x:f>SUMIFS('Cash'!$C$5:$C$97,'Cash'!$A$5:$A$97,"&lt;="&amp;A9,'Cash'!$B$5:$B$97,"DIVIDEND_NET")</x:f>
        <x:v>0</x:v>
      </x:c>
      <x:c r="F9" s="30" t="str">
        <x:v>n.a.</x:v>
      </x:c>
      <x:c r="G9" s="30" t="str">
        <x:v>n.a.</x:v>
      </x:c>
      <x:c r="H9" s="30" t="str">
        <x:v>n.a.</x:v>
      </x:c>
      <x:c r="I9" s="30" t="str">
        <x:f>IF(COUNT(B9,F9:H9)=4,B9+F9+G9-H9,"n.a.")</x:f>
        <x:v>n.a.</x:v>
      </x:c>
      <x:c r="J9" s="30" t="str">
        <x:v>n.a.</x:v>
      </x:c>
      <x:c r="K9" s="17"/>
      <x:c r="L9" s="17"/>
      <x:c r="M9" s="17"/>
      <x:c r="N9" s="17"/>
    </x:row>
    <x:row r="10" ht="21" customHeight="1">
      <x:c r="A10" s="27" t="d">
        <x:v>2025-07-05T00:00:00.000Z</x:v>
      </x:c>
      <x:c r="B10" s="22" t="n">
        <x:f>SUMIFS('Cash'!$C$5:$C$97,'Cash'!$A$5:$A$97,"&lt;="&amp;A10)</x:f>
        <x:v>1637492</x:v>
      </x:c>
      <x:c r="C10" s="22" t="n">
        <x:f>SUMIFS('Cash'!$C$5:$C$97,'Cash'!$A$5:$A$97,A10)</x:f>
        <x:v>0</x:v>
      </x:c>
      <x:c r="D10" s="22" t="n">
        <x:f>SUMIFS('Cash'!$C$5:$C$97,'Cash'!$A$5:$A$97,"&lt;="&amp;A10,'Cash'!$B$5:$B$97,"EXTERNAL_FUNDING")</x:f>
        <x:v>10000000</x:v>
      </x:c>
      <x:c r="E10" s="22" t="n">
        <x:f>SUMIFS('Cash'!$C$5:$C$97,'Cash'!$A$5:$A$97,"&lt;="&amp;A10,'Cash'!$B$5:$B$97,"DIVIDEND_NET")</x:f>
        <x:v>0</x:v>
      </x:c>
      <x:c r="F10" s="30" t="str">
        <x:v>n.a.</x:v>
      </x:c>
      <x:c r="G10" s="30" t="str">
        <x:v>n.a.</x:v>
      </x:c>
      <x:c r="H10" s="30" t="str">
        <x:v>n.a.</x:v>
      </x:c>
      <x:c r="I10" s="30" t="str">
        <x:f>IF(COUNT(B10,F10:H10)=4,B10+F10+G10-H10,"n.a.")</x:f>
        <x:v>n.a.</x:v>
      </x:c>
      <x:c r="J10" s="30" t="str">
        <x:v>n.a.</x:v>
      </x:c>
      <x:c r="K10" s="17"/>
      <x:c r="L10" s="17"/>
      <x:c r="M10" s="17"/>
      <x:c r="N10" s="17"/>
    </x:row>
    <x:row r="11" ht="21" customHeight="1">
      <x:c r="A11" s="27" t="d">
        <x:v>2025-07-06T00:00:00.000Z</x:v>
      </x:c>
      <x:c r="B11" s="22" t="n">
        <x:f>SUMIFS('Cash'!$C$5:$C$97,'Cash'!$A$5:$A$97,"&lt;="&amp;A11)</x:f>
        <x:v>1637492</x:v>
      </x:c>
      <x:c r="C11" s="22" t="n">
        <x:f>SUMIFS('Cash'!$C$5:$C$97,'Cash'!$A$5:$A$97,A11)</x:f>
        <x:v>0</x:v>
      </x:c>
      <x:c r="D11" s="22" t="n">
        <x:f>SUMIFS('Cash'!$C$5:$C$97,'Cash'!$A$5:$A$97,"&lt;="&amp;A11,'Cash'!$B$5:$B$97,"EXTERNAL_FUNDING")</x:f>
        <x:v>10000000</x:v>
      </x:c>
      <x:c r="E11" s="22" t="n">
        <x:f>SUMIFS('Cash'!$C$5:$C$97,'Cash'!$A$5:$A$97,"&lt;="&amp;A11,'Cash'!$B$5:$B$97,"DIVIDEND_NET")</x:f>
        <x:v>0</x:v>
      </x:c>
      <x:c r="F11" s="30" t="str">
        <x:v>n.a.</x:v>
      </x:c>
      <x:c r="G11" s="30" t="str">
        <x:v>n.a.</x:v>
      </x:c>
      <x:c r="H11" s="30" t="str">
        <x:v>n.a.</x:v>
      </x:c>
      <x:c r="I11" s="30" t="str">
        <x:f>IF(COUNT(B11,F11:H11)=4,B11+F11+G11-H11,"n.a.")</x:f>
        <x:v>n.a.</x:v>
      </x:c>
      <x:c r="J11" s="30" t="str">
        <x:v>n.a.</x:v>
      </x:c>
      <x:c r="K11" s="17"/>
      <x:c r="L11" s="17"/>
      <x:c r="M11" s="17"/>
      <x:c r="N11" s="17"/>
    </x:row>
    <x:row r="12" ht="21" customHeight="1">
      <x:c r="A12" s="27" t="d">
        <x:v>2025-07-07T00:00:00.000Z</x:v>
      </x:c>
      <x:c r="B12" s="22" t="n">
        <x:f>SUMIFS('Cash'!$C$5:$C$97,'Cash'!$A$5:$A$97,"&lt;="&amp;A12)</x:f>
        <x:v>1637492</x:v>
      </x:c>
      <x:c r="C12" s="22" t="n">
        <x:f>SUMIFS('Cash'!$C$5:$C$97,'Cash'!$A$5:$A$97,A12)</x:f>
        <x:v>0</x:v>
      </x:c>
      <x:c r="D12" s="22" t="n">
        <x:f>SUMIFS('Cash'!$C$5:$C$97,'Cash'!$A$5:$A$97,"&lt;="&amp;A12,'Cash'!$B$5:$B$97,"EXTERNAL_FUNDING")</x:f>
        <x:v>10000000</x:v>
      </x:c>
      <x:c r="E12" s="22" t="n">
        <x:f>SUMIFS('Cash'!$C$5:$C$97,'Cash'!$A$5:$A$97,"&lt;="&amp;A12,'Cash'!$B$5:$B$97,"DIVIDEND_NET")</x:f>
        <x:v>0</x:v>
      </x:c>
      <x:c r="F12" s="30" t="str">
        <x:v>n.a.</x:v>
      </x:c>
      <x:c r="G12" s="30" t="str">
        <x:v>n.a.</x:v>
      </x:c>
      <x:c r="H12" s="30" t="str">
        <x:v>n.a.</x:v>
      </x:c>
      <x:c r="I12" s="30" t="str">
        <x:f>IF(COUNT(B12,F12:H12)=4,B12+F12+G12-H12,"n.a.")</x:f>
        <x:v>n.a.</x:v>
      </x:c>
      <x:c r="J12" s="30" t="str">
        <x:v>n.a.</x:v>
      </x:c>
      <x:c r="K12" s="17"/>
      <x:c r="L12" s="17"/>
      <x:c r="M12" s="17"/>
      <x:c r="N12" s="17"/>
    </x:row>
    <x:row r="13" ht="21" customHeight="1">
      <x:c r="A13" s="27" t="d">
        <x:v>2025-07-08T00:00:00.000Z</x:v>
      </x:c>
      <x:c r="B13" s="22" t="n">
        <x:f>SUMIFS('Cash'!$C$5:$C$97,'Cash'!$A$5:$A$97,"&lt;="&amp;A13)</x:f>
        <x:v>1637492</x:v>
      </x:c>
      <x:c r="C13" s="22" t="n">
        <x:f>SUMIFS('Cash'!$C$5:$C$97,'Cash'!$A$5:$A$97,A13)</x:f>
        <x:v>0</x:v>
      </x:c>
      <x:c r="D13" s="22" t="n">
        <x:f>SUMIFS('Cash'!$C$5:$C$97,'Cash'!$A$5:$A$97,"&lt;="&amp;A13,'Cash'!$B$5:$B$97,"EXTERNAL_FUNDING")</x:f>
        <x:v>10000000</x:v>
      </x:c>
      <x:c r="E13" s="22" t="n">
        <x:f>SUMIFS('Cash'!$C$5:$C$97,'Cash'!$A$5:$A$97,"&lt;="&amp;A13,'Cash'!$B$5:$B$97,"DIVIDEND_NET")</x:f>
        <x:v>0</x:v>
      </x:c>
      <x:c r="F13" s="30" t="str">
        <x:v>n.a.</x:v>
      </x:c>
      <x:c r="G13" s="30" t="str">
        <x:v>n.a.</x:v>
      </x:c>
      <x:c r="H13" s="30" t="str">
        <x:v>n.a.</x:v>
      </x:c>
      <x:c r="I13" s="30" t="str">
        <x:f>IF(COUNT(B13,F13:H13)=4,B13+F13+G13-H13,"n.a.")</x:f>
        <x:v>n.a.</x:v>
      </x:c>
      <x:c r="J13" s="30" t="str">
        <x:v>n.a.</x:v>
      </x:c>
      <x:c r="K13" s="17"/>
      <x:c r="L13" s="17"/>
      <x:c r="M13" s="17"/>
      <x:c r="N13" s="17"/>
    </x:row>
    <x:row r="14" ht="21" customHeight="1">
      <x:c r="A14" s="27" t="d">
        <x:v>2025-07-09T00:00:00.000Z</x:v>
      </x:c>
      <x:c r="B14" s="22" t="n">
        <x:f>SUMIFS('Cash'!$C$5:$C$97,'Cash'!$A$5:$A$97,"&lt;="&amp;A14)</x:f>
        <x:v>147045</x:v>
      </x:c>
      <x:c r="C14" s="22" t="n">
        <x:f>SUMIFS('Cash'!$C$5:$C$97,'Cash'!$A$5:$A$97,A14)</x:f>
        <x:v>-1490447</x:v>
      </x:c>
      <x:c r="D14" s="22" t="n">
        <x:f>SUMIFS('Cash'!$C$5:$C$97,'Cash'!$A$5:$A$97,"&lt;="&amp;A14,'Cash'!$B$5:$B$97,"EXTERNAL_FUNDING")</x:f>
        <x:v>10000000</x:v>
      </x:c>
      <x:c r="E14" s="22" t="n">
        <x:f>SUMIFS('Cash'!$C$5:$C$97,'Cash'!$A$5:$A$97,"&lt;="&amp;A14,'Cash'!$B$5:$B$97,"DIVIDEND_NET")</x:f>
        <x:v>0</x:v>
      </x:c>
      <x:c r="F14" s="30" t="str">
        <x:v>n.a.</x:v>
      </x:c>
      <x:c r="G14" s="30" t="str">
        <x:v>n.a.</x:v>
      </x:c>
      <x:c r="H14" s="30" t="str">
        <x:v>n.a.</x:v>
      </x:c>
      <x:c r="I14" s="30" t="str">
        <x:f>IF(COUNT(B14,F14:H14)=4,B14+F14+G14-H14,"n.a.")</x:f>
        <x:v>n.a.</x:v>
      </x:c>
      <x:c r="J14" s="30" t="str">
        <x:v>n.a.</x:v>
      </x:c>
      <x:c r="K14" s="17"/>
      <x:c r="L14" s="17"/>
      <x:c r="M14" s="17"/>
      <x:c r="N14" s="17"/>
    </x:row>
    <x:row r="15" ht="21" customHeight="1">
      <x:c r="A15" s="27" t="d">
        <x:v>2025-07-10T00:00:00.000Z</x:v>
      </x:c>
      <x:c r="B15" s="22" t="n">
        <x:f>SUMIFS('Cash'!$C$5:$C$97,'Cash'!$A$5:$A$97,"&lt;="&amp;A15)</x:f>
        <x:v>147045</x:v>
      </x:c>
      <x:c r="C15" s="22" t="n">
        <x:f>SUMIFS('Cash'!$C$5:$C$97,'Cash'!$A$5:$A$97,A15)</x:f>
        <x:v>0</x:v>
      </x:c>
      <x:c r="D15" s="22" t="n">
        <x:f>SUMIFS('Cash'!$C$5:$C$97,'Cash'!$A$5:$A$97,"&lt;="&amp;A15,'Cash'!$B$5:$B$97,"EXTERNAL_FUNDING")</x:f>
        <x:v>10000000</x:v>
      </x:c>
      <x:c r="E15" s="22" t="n">
        <x:f>SUMIFS('Cash'!$C$5:$C$97,'Cash'!$A$5:$A$97,"&lt;="&amp;A15,'Cash'!$B$5:$B$97,"DIVIDEND_NET")</x:f>
        <x:v>0</x:v>
      </x:c>
      <x:c r="F15" s="30" t="str">
        <x:v>n.a.</x:v>
      </x:c>
      <x:c r="G15" s="30" t="str">
        <x:v>n.a.</x:v>
      </x:c>
      <x:c r="H15" s="30" t="str">
        <x:v>n.a.</x:v>
      </x:c>
      <x:c r="I15" s="30" t="str">
        <x:f>IF(COUNT(B15,F15:H15)=4,B15+F15+G15-H15,"n.a.")</x:f>
        <x:v>n.a.</x:v>
      </x:c>
      <x:c r="J15" s="30" t="str">
        <x:v>n.a.</x:v>
      </x:c>
      <x:c r="K15" s="17"/>
      <x:c r="L15" s="17"/>
      <x:c r="M15" s="17"/>
      <x:c r="N15" s="17"/>
    </x:row>
    <x:row r="16" ht="21" customHeight="1">
      <x:c r="A16" s="27" t="d">
        <x:v>2025-07-11T00:00:00.000Z</x:v>
      </x:c>
      <x:c r="B16" s="22" t="n">
        <x:f>SUMIFS('Cash'!$C$5:$C$97,'Cash'!$A$5:$A$97,"&lt;="&amp;A16)</x:f>
        <x:v>147045</x:v>
      </x:c>
      <x:c r="C16" s="22" t="n">
        <x:f>SUMIFS('Cash'!$C$5:$C$97,'Cash'!$A$5:$A$97,A16)</x:f>
        <x:v>0</x:v>
      </x:c>
      <x:c r="D16" s="22" t="n">
        <x:f>SUMIFS('Cash'!$C$5:$C$97,'Cash'!$A$5:$A$97,"&lt;="&amp;A16,'Cash'!$B$5:$B$97,"EXTERNAL_FUNDING")</x:f>
        <x:v>10000000</x:v>
      </x:c>
      <x:c r="E16" s="22" t="n">
        <x:f>SUMIFS('Cash'!$C$5:$C$97,'Cash'!$A$5:$A$97,"&lt;="&amp;A16,'Cash'!$B$5:$B$97,"DIVIDEND_NET")</x:f>
        <x:v>0</x:v>
      </x:c>
      <x:c r="F16" s="30" t="str">
        <x:v>n.a.</x:v>
      </x:c>
      <x:c r="G16" s="30" t="str">
        <x:v>n.a.</x:v>
      </x:c>
      <x:c r="H16" s="30" t="str">
        <x:v>n.a.</x:v>
      </x:c>
      <x:c r="I16" s="30" t="str">
        <x:f>IF(COUNT(B16,F16:H16)=4,B16+F16+G16-H16,"n.a.")</x:f>
        <x:v>n.a.</x:v>
      </x:c>
      <x:c r="J16" s="30" t="str">
        <x:v>n.a.</x:v>
      </x:c>
      <x:c r="K16" s="17"/>
      <x:c r="L16" s="17"/>
      <x:c r="M16" s="17"/>
      <x:c r="N16" s="17"/>
    </x:row>
    <x:row r="17" ht="21" customHeight="1">
      <x:c r="A17" s="27" t="d">
        <x:v>2025-07-12T00:00:00.000Z</x:v>
      </x:c>
      <x:c r="B17" s="22" t="n">
        <x:f>SUMIFS('Cash'!$C$5:$C$97,'Cash'!$A$5:$A$97,"&lt;="&amp;A17)</x:f>
        <x:v>147045</x:v>
      </x:c>
      <x:c r="C17" s="22" t="n">
        <x:f>SUMIFS('Cash'!$C$5:$C$97,'Cash'!$A$5:$A$97,A17)</x:f>
        <x:v>0</x:v>
      </x:c>
      <x:c r="D17" s="22" t="n">
        <x:f>SUMIFS('Cash'!$C$5:$C$97,'Cash'!$A$5:$A$97,"&lt;="&amp;A17,'Cash'!$B$5:$B$97,"EXTERNAL_FUNDING")</x:f>
        <x:v>10000000</x:v>
      </x:c>
      <x:c r="E17" s="22" t="n">
        <x:f>SUMIFS('Cash'!$C$5:$C$97,'Cash'!$A$5:$A$97,"&lt;="&amp;A17,'Cash'!$B$5:$B$97,"DIVIDEND_NET")</x:f>
        <x:v>0</x:v>
      </x:c>
      <x:c r="F17" s="30" t="str">
        <x:v>n.a.</x:v>
      </x:c>
      <x:c r="G17" s="30" t="str">
        <x:v>n.a.</x:v>
      </x:c>
      <x:c r="H17" s="30" t="str">
        <x:v>n.a.</x:v>
      </x:c>
      <x:c r="I17" s="30" t="str">
        <x:f>IF(COUNT(B17,F17:H17)=4,B17+F17+G17-H17,"n.a.")</x:f>
        <x:v>n.a.</x:v>
      </x:c>
      <x:c r="J17" s="30" t="str">
        <x:v>n.a.</x:v>
      </x:c>
      <x:c r="K17" s="17"/>
      <x:c r="L17" s="17"/>
      <x:c r="M17" s="17"/>
      <x:c r="N17" s="17"/>
    </x:row>
    <x:row r="18" ht="21" customHeight="1">
      <x:c r="A18" s="27" t="d">
        <x:v>2025-07-13T00:00:00.000Z</x:v>
      </x:c>
      <x:c r="B18" s="22" t="n">
        <x:f>SUMIFS('Cash'!$C$5:$C$97,'Cash'!$A$5:$A$97,"&lt;="&amp;A18)</x:f>
        <x:v>147045</x:v>
      </x:c>
      <x:c r="C18" s="22" t="n">
        <x:f>SUMIFS('Cash'!$C$5:$C$97,'Cash'!$A$5:$A$97,A18)</x:f>
        <x:v>0</x:v>
      </x:c>
      <x:c r="D18" s="22" t="n">
        <x:f>SUMIFS('Cash'!$C$5:$C$97,'Cash'!$A$5:$A$97,"&lt;="&amp;A18,'Cash'!$B$5:$B$97,"EXTERNAL_FUNDING")</x:f>
        <x:v>10000000</x:v>
      </x:c>
      <x:c r="E18" s="22" t="n">
        <x:f>SUMIFS('Cash'!$C$5:$C$97,'Cash'!$A$5:$A$97,"&lt;="&amp;A18,'Cash'!$B$5:$B$97,"DIVIDEND_NET")</x:f>
        <x:v>0</x:v>
      </x:c>
      <x:c r="F18" s="30" t="str">
        <x:v>n.a.</x:v>
      </x:c>
      <x:c r="G18" s="30" t="str">
        <x:v>n.a.</x:v>
      </x:c>
      <x:c r="H18" s="30" t="str">
        <x:v>n.a.</x:v>
      </x:c>
      <x:c r="I18" s="30" t="str">
        <x:f>IF(COUNT(B18,F18:H18)=4,B18+F18+G18-H18,"n.a.")</x:f>
        <x:v>n.a.</x:v>
      </x:c>
      <x:c r="J18" s="30" t="str">
        <x:v>n.a.</x:v>
      </x:c>
      <x:c r="K18" s="17"/>
      <x:c r="L18" s="17"/>
      <x:c r="M18" s="17"/>
      <x:c r="N18" s="17"/>
    </x:row>
    <x:row r="19" ht="21" customHeight="1">
      <x:c r="A19" s="27" t="d">
        <x:v>2025-07-14T00:00:00.000Z</x:v>
      </x:c>
      <x:c r="B19" s="22" t="n">
        <x:f>SUMIFS('Cash'!$C$5:$C$97,'Cash'!$A$5:$A$97,"&lt;="&amp;A19)</x:f>
        <x:v>147045</x:v>
      </x:c>
      <x:c r="C19" s="22" t="n">
        <x:f>SUMIFS('Cash'!$C$5:$C$97,'Cash'!$A$5:$A$97,A19)</x:f>
        <x:v>0</x:v>
      </x:c>
      <x:c r="D19" s="22" t="n">
        <x:f>SUMIFS('Cash'!$C$5:$C$97,'Cash'!$A$5:$A$97,"&lt;="&amp;A19,'Cash'!$B$5:$B$97,"EXTERNAL_FUNDING")</x:f>
        <x:v>10000000</x:v>
      </x:c>
      <x:c r="E19" s="22" t="n">
        <x:f>SUMIFS('Cash'!$C$5:$C$97,'Cash'!$A$5:$A$97,"&lt;="&amp;A19,'Cash'!$B$5:$B$97,"DIVIDEND_NET")</x:f>
        <x:v>0</x:v>
      </x:c>
      <x:c r="F19" s="30" t="str">
        <x:v>n.a.</x:v>
      </x:c>
      <x:c r="G19" s="30" t="str">
        <x:v>n.a.</x:v>
      </x:c>
      <x:c r="H19" s="30" t="str">
        <x:v>n.a.</x:v>
      </x:c>
      <x:c r="I19" s="30" t="str">
        <x:f>IF(COUNT(B19,F19:H19)=4,B19+F19+G19-H19,"n.a.")</x:f>
        <x:v>n.a.</x:v>
      </x:c>
      <x:c r="J19" s="30" t="str">
        <x:v>n.a.</x:v>
      </x:c>
      <x:c r="K19" s="17"/>
      <x:c r="L19" s="17"/>
      <x:c r="M19" s="17"/>
      <x:c r="N19" s="17"/>
    </x:row>
    <x:row r="20" ht="21" customHeight="1">
      <x:c r="A20" s="27" t="d">
        <x:v>2025-07-15T00:00:00.000Z</x:v>
      </x:c>
      <x:c r="B20" s="22" t="n">
        <x:f>SUMIFS('Cash'!$C$5:$C$97,'Cash'!$A$5:$A$97,"&lt;="&amp;A20)</x:f>
        <x:v>147045</x:v>
      </x:c>
      <x:c r="C20" s="22" t="n">
        <x:f>SUMIFS('Cash'!$C$5:$C$97,'Cash'!$A$5:$A$97,A20)</x:f>
        <x:v>0</x:v>
      </x:c>
      <x:c r="D20" s="22" t="n">
        <x:f>SUMIFS('Cash'!$C$5:$C$97,'Cash'!$A$5:$A$97,"&lt;="&amp;A20,'Cash'!$B$5:$B$97,"EXTERNAL_FUNDING")</x:f>
        <x:v>10000000</x:v>
      </x:c>
      <x:c r="E20" s="22" t="n">
        <x:f>SUMIFS('Cash'!$C$5:$C$97,'Cash'!$A$5:$A$97,"&lt;="&amp;A20,'Cash'!$B$5:$B$97,"DIVIDEND_NET")</x:f>
        <x:v>0</x:v>
      </x:c>
      <x:c r="F20" s="30" t="str">
        <x:v>n.a.</x:v>
      </x:c>
      <x:c r="G20" s="30" t="str">
        <x:v>n.a.</x:v>
      </x:c>
      <x:c r="H20" s="30" t="str">
        <x:v>n.a.</x:v>
      </x:c>
      <x:c r="I20" s="30" t="str">
        <x:f>IF(COUNT(B20,F20:H20)=4,B20+F20+G20-H20,"n.a.")</x:f>
        <x:v>n.a.</x:v>
      </x:c>
      <x:c r="J20" s="30" t="str">
        <x:v>n.a.</x:v>
      </x:c>
      <x:c r="K20" s="17"/>
      <x:c r="L20" s="17"/>
      <x:c r="M20" s="17"/>
      <x:c r="N20" s="17"/>
    </x:row>
    <x:row r="21" ht="21" customHeight="1">
      <x:c r="A21" s="27" t="d">
        <x:v>2025-07-16T00:00:00.000Z</x:v>
      </x:c>
      <x:c r="B21" s="22" t="n">
        <x:f>SUMIFS('Cash'!$C$5:$C$97,'Cash'!$A$5:$A$97,"&lt;="&amp;A21)</x:f>
        <x:v>147045</x:v>
      </x:c>
      <x:c r="C21" s="22" t="n">
        <x:f>SUMIFS('Cash'!$C$5:$C$97,'Cash'!$A$5:$A$97,A21)</x:f>
        <x:v>0</x:v>
      </x:c>
      <x:c r="D21" s="22" t="n">
        <x:f>SUMIFS('Cash'!$C$5:$C$97,'Cash'!$A$5:$A$97,"&lt;="&amp;A21,'Cash'!$B$5:$B$97,"EXTERNAL_FUNDING")</x:f>
        <x:v>10000000</x:v>
      </x:c>
      <x:c r="E21" s="22" t="n">
        <x:f>SUMIFS('Cash'!$C$5:$C$97,'Cash'!$A$5:$A$97,"&lt;="&amp;A21,'Cash'!$B$5:$B$97,"DIVIDEND_NET")</x:f>
        <x:v>0</x:v>
      </x:c>
      <x:c r="F21" s="30" t="str">
        <x:v>n.a.</x:v>
      </x:c>
      <x:c r="G21" s="30" t="str">
        <x:v>n.a.</x:v>
      </x:c>
      <x:c r="H21" s="30" t="str">
        <x:v>n.a.</x:v>
      </x:c>
      <x:c r="I21" s="30" t="str">
        <x:f>IF(COUNT(B21,F21:H21)=4,B21+F21+G21-H21,"n.a.")</x:f>
        <x:v>n.a.</x:v>
      </x:c>
      <x:c r="J21" s="30" t="str">
        <x:v>n.a.</x:v>
      </x:c>
      <x:c r="K21" s="17"/>
      <x:c r="L21" s="17"/>
      <x:c r="M21" s="17"/>
      <x:c r="N21" s="17"/>
    </x:row>
    <x:row r="22" ht="21" customHeight="1">
      <x:c r="A22" s="27" t="d">
        <x:v>2025-07-17T00:00:00.000Z</x:v>
      </x:c>
      <x:c r="B22" s="22" t="n">
        <x:f>SUMIFS('Cash'!$C$5:$C$97,'Cash'!$A$5:$A$97,"&lt;="&amp;A22)</x:f>
        <x:v>147045</x:v>
      </x:c>
      <x:c r="C22" s="22" t="n">
        <x:f>SUMIFS('Cash'!$C$5:$C$97,'Cash'!$A$5:$A$97,A22)</x:f>
        <x:v>0</x:v>
      </x:c>
      <x:c r="D22" s="22" t="n">
        <x:f>SUMIFS('Cash'!$C$5:$C$97,'Cash'!$A$5:$A$97,"&lt;="&amp;A22,'Cash'!$B$5:$B$97,"EXTERNAL_FUNDING")</x:f>
        <x:v>10000000</x:v>
      </x:c>
      <x:c r="E22" s="22" t="n">
        <x:f>SUMIFS('Cash'!$C$5:$C$97,'Cash'!$A$5:$A$97,"&lt;="&amp;A22,'Cash'!$B$5:$B$97,"DIVIDEND_NET")</x:f>
        <x:v>0</x:v>
      </x:c>
      <x:c r="F22" s="30" t="str">
        <x:v>n.a.</x:v>
      </x:c>
      <x:c r="G22" s="30" t="str">
        <x:v>n.a.</x:v>
      </x:c>
      <x:c r="H22" s="30" t="str">
        <x:v>n.a.</x:v>
      </x:c>
      <x:c r="I22" s="30" t="str">
        <x:f>IF(COUNT(B22,F22:H22)=4,B22+F22+G22-H22,"n.a.")</x:f>
        <x:v>n.a.</x:v>
      </x:c>
      <x:c r="J22" s="30" t="str">
        <x:v>n.a.</x:v>
      </x:c>
      <x:c r="K22" s="17"/>
      <x:c r="L22" s="17"/>
      <x:c r="M22" s="17"/>
      <x:c r="N22" s="17"/>
    </x:row>
    <x:row r="23" ht="21" customHeight="1">
      <x:c r="A23" s="27" t="d">
        <x:v>2025-07-18T00:00:00.000Z</x:v>
      </x:c>
      <x:c r="B23" s="22" t="n">
        <x:f>SUMIFS('Cash'!$C$5:$C$97,'Cash'!$A$5:$A$97,"&lt;="&amp;A23)</x:f>
        <x:v>147045</x:v>
      </x:c>
      <x:c r="C23" s="22" t="n">
        <x:f>SUMIFS('Cash'!$C$5:$C$97,'Cash'!$A$5:$A$97,A23)</x:f>
        <x:v>0</x:v>
      </x:c>
      <x:c r="D23" s="22" t="n">
        <x:f>SUMIFS('Cash'!$C$5:$C$97,'Cash'!$A$5:$A$97,"&lt;="&amp;A23,'Cash'!$B$5:$B$97,"EXTERNAL_FUNDING")</x:f>
        <x:v>10000000</x:v>
      </x:c>
      <x:c r="E23" s="22" t="n">
        <x:f>SUMIFS('Cash'!$C$5:$C$97,'Cash'!$A$5:$A$97,"&lt;="&amp;A23,'Cash'!$B$5:$B$97,"DIVIDEND_NET")</x:f>
        <x:v>0</x:v>
      </x:c>
      <x:c r="F23" s="30" t="str">
        <x:v>n.a.</x:v>
      </x:c>
      <x:c r="G23" s="30" t="str">
        <x:v>n.a.</x:v>
      </x:c>
      <x:c r="H23" s="30" t="str">
        <x:v>n.a.</x:v>
      </x:c>
      <x:c r="I23" s="30" t="str">
        <x:f>IF(COUNT(B23,F23:H23)=4,B23+F23+G23-H23,"n.a.")</x:f>
        <x:v>n.a.</x:v>
      </x:c>
      <x:c r="J23" s="30" t="str">
        <x:v>n.a.</x:v>
      </x:c>
      <x:c r="K23" s="17"/>
      <x:c r="L23" s="17"/>
      <x:c r="M23" s="17"/>
      <x:c r="N23" s="17"/>
    </x:row>
    <x:row r="24" ht="21" customHeight="1">
      <x:c r="A24" s="27" t="d">
        <x:v>2025-07-19T00:00:00.000Z</x:v>
      </x:c>
      <x:c r="B24" s="22" t="n">
        <x:f>SUMIFS('Cash'!$C$5:$C$97,'Cash'!$A$5:$A$97,"&lt;="&amp;A24)</x:f>
        <x:v>147045</x:v>
      </x:c>
      <x:c r="C24" s="22" t="n">
        <x:f>SUMIFS('Cash'!$C$5:$C$97,'Cash'!$A$5:$A$97,A24)</x:f>
        <x:v>0</x:v>
      </x:c>
      <x:c r="D24" s="22" t="n">
        <x:f>SUMIFS('Cash'!$C$5:$C$97,'Cash'!$A$5:$A$97,"&lt;="&amp;A24,'Cash'!$B$5:$B$97,"EXTERNAL_FUNDING")</x:f>
        <x:v>10000000</x:v>
      </x:c>
      <x:c r="E24" s="22" t="n">
        <x:f>SUMIFS('Cash'!$C$5:$C$97,'Cash'!$A$5:$A$97,"&lt;="&amp;A24,'Cash'!$B$5:$B$97,"DIVIDEND_NET")</x:f>
        <x:v>0</x:v>
      </x:c>
      <x:c r="F24" s="30" t="str">
        <x:v>n.a.</x:v>
      </x:c>
      <x:c r="G24" s="30" t="str">
        <x:v>n.a.</x:v>
      </x:c>
      <x:c r="H24" s="30" t="str">
        <x:v>n.a.</x:v>
      </x:c>
      <x:c r="I24" s="30" t="str">
        <x:f>IF(COUNT(B24,F24:H24)=4,B24+F24+G24-H24,"n.a.")</x:f>
        <x:v>n.a.</x:v>
      </x:c>
      <x:c r="J24" s="30" t="str">
        <x:v>n.a.</x:v>
      </x:c>
      <x:c r="K24" s="17"/>
      <x:c r="L24" s="17"/>
      <x:c r="M24" s="17"/>
      <x:c r="N24" s="17"/>
    </x:row>
    <x:row r="25" ht="21" customHeight="1">
      <x:c r="A25" s="27" t="d">
        <x:v>2025-07-20T00:00:00.000Z</x:v>
      </x:c>
      <x:c r="B25" s="22" t="n">
        <x:f>SUMIFS('Cash'!$C$5:$C$97,'Cash'!$A$5:$A$97,"&lt;="&amp;A25)</x:f>
        <x:v>147045</x:v>
      </x:c>
      <x:c r="C25" s="22" t="n">
        <x:f>SUMIFS('Cash'!$C$5:$C$97,'Cash'!$A$5:$A$97,A25)</x:f>
        <x:v>0</x:v>
      </x:c>
      <x:c r="D25" s="22" t="n">
        <x:f>SUMIFS('Cash'!$C$5:$C$97,'Cash'!$A$5:$A$97,"&lt;="&amp;A25,'Cash'!$B$5:$B$97,"EXTERNAL_FUNDING")</x:f>
        <x:v>10000000</x:v>
      </x:c>
      <x:c r="E25" s="22" t="n">
        <x:f>SUMIFS('Cash'!$C$5:$C$97,'Cash'!$A$5:$A$97,"&lt;="&amp;A25,'Cash'!$B$5:$B$97,"DIVIDEND_NET")</x:f>
        <x:v>0</x:v>
      </x:c>
      <x:c r="F25" s="30" t="str">
        <x:v>n.a.</x:v>
      </x:c>
      <x:c r="G25" s="30" t="str">
        <x:v>n.a.</x:v>
      </x:c>
      <x:c r="H25" s="30" t="str">
        <x:v>n.a.</x:v>
      </x:c>
      <x:c r="I25" s="30" t="str">
        <x:f>IF(COUNT(B25,F25:H25)=4,B25+F25+G25-H25,"n.a.")</x:f>
        <x:v>n.a.</x:v>
      </x:c>
      <x:c r="J25" s="30" t="str">
        <x:v>n.a.</x:v>
      </x:c>
      <x:c r="K25" s="17"/>
      <x:c r="L25" s="17"/>
      <x:c r="M25" s="17"/>
      <x:c r="N25" s="17"/>
    </x:row>
    <x:row r="26" ht="21" customHeight="1">
      <x:c r="A26" s="27" t="d">
        <x:v>2025-07-21T00:00:00.000Z</x:v>
      </x:c>
      <x:c r="B26" s="22" t="n">
        <x:f>SUMIFS('Cash'!$C$5:$C$97,'Cash'!$A$5:$A$97,"&lt;="&amp;A26)</x:f>
        <x:v>147045</x:v>
      </x:c>
      <x:c r="C26" s="22" t="n">
        <x:f>SUMIFS('Cash'!$C$5:$C$97,'Cash'!$A$5:$A$97,A26)</x:f>
        <x:v>0</x:v>
      </x:c>
      <x:c r="D26" s="22" t="n">
        <x:f>SUMIFS('Cash'!$C$5:$C$97,'Cash'!$A$5:$A$97,"&lt;="&amp;A26,'Cash'!$B$5:$B$97,"EXTERNAL_FUNDING")</x:f>
        <x:v>10000000</x:v>
      </x:c>
      <x:c r="E26" s="22" t="n">
        <x:f>SUMIFS('Cash'!$C$5:$C$97,'Cash'!$A$5:$A$97,"&lt;="&amp;A26,'Cash'!$B$5:$B$97,"DIVIDEND_NET")</x:f>
        <x:v>0</x:v>
      </x:c>
      <x:c r="F26" s="30" t="str">
        <x:v>n.a.</x:v>
      </x:c>
      <x:c r="G26" s="30" t="str">
        <x:v>n.a.</x:v>
      </x:c>
      <x:c r="H26" s="30" t="str">
        <x:v>n.a.</x:v>
      </x:c>
      <x:c r="I26" s="30" t="str">
        <x:f>IF(COUNT(B26,F26:H26)=4,B26+F26+G26-H26,"n.a.")</x:f>
        <x:v>n.a.</x:v>
      </x:c>
      <x:c r="J26" s="30" t="str">
        <x:v>n.a.</x:v>
      </x:c>
      <x:c r="K26" s="17"/>
      <x:c r="L26" s="17"/>
      <x:c r="M26" s="17"/>
      <x:c r="N26" s="17"/>
    </x:row>
    <x:row r="27" ht="21" customHeight="1">
      <x:c r="A27" s="27" t="d">
        <x:v>2025-07-22T00:00:00.000Z</x:v>
      </x:c>
      <x:c r="B27" s="22" t="n">
        <x:f>SUMIFS('Cash'!$C$5:$C$97,'Cash'!$A$5:$A$97,"&lt;="&amp;A27)</x:f>
        <x:v>147045</x:v>
      </x:c>
      <x:c r="C27" s="22" t="n">
        <x:f>SUMIFS('Cash'!$C$5:$C$97,'Cash'!$A$5:$A$97,A27)</x:f>
        <x:v>0</x:v>
      </x:c>
      <x:c r="D27" s="22" t="n">
        <x:f>SUMIFS('Cash'!$C$5:$C$97,'Cash'!$A$5:$A$97,"&lt;="&amp;A27,'Cash'!$B$5:$B$97,"EXTERNAL_FUNDING")</x:f>
        <x:v>10000000</x:v>
      </x:c>
      <x:c r="E27" s="22" t="n">
        <x:f>SUMIFS('Cash'!$C$5:$C$97,'Cash'!$A$5:$A$97,"&lt;="&amp;A27,'Cash'!$B$5:$B$97,"DIVIDEND_NET")</x:f>
        <x:v>0</x:v>
      </x:c>
      <x:c r="F27" s="30" t="str">
        <x:v>n.a.</x:v>
      </x:c>
      <x:c r="G27" s="30" t="str">
        <x:v>n.a.</x:v>
      </x:c>
      <x:c r="H27" s="30" t="str">
        <x:v>n.a.</x:v>
      </x:c>
      <x:c r="I27" s="30" t="str">
        <x:f>IF(COUNT(B27,F27:H27)=4,B27+F27+G27-H27,"n.a.")</x:f>
        <x:v>n.a.</x:v>
      </x:c>
      <x:c r="J27" s="30" t="str">
        <x:v>n.a.</x:v>
      </x:c>
      <x:c r="K27" s="17"/>
      <x:c r="L27" s="17"/>
      <x:c r="M27" s="17"/>
      <x:c r="N27" s="17"/>
    </x:row>
    <x:row r="28" ht="21" customHeight="1">
      <x:c r="A28" s="27" t="d">
        <x:v>2025-07-23T00:00:00.000Z</x:v>
      </x:c>
      <x:c r="B28" s="22" t="n">
        <x:f>SUMIFS('Cash'!$C$5:$C$97,'Cash'!$A$5:$A$97,"&lt;="&amp;A28)</x:f>
        <x:v>147045</x:v>
      </x:c>
      <x:c r="C28" s="22" t="n">
        <x:f>SUMIFS('Cash'!$C$5:$C$97,'Cash'!$A$5:$A$97,A28)</x:f>
        <x:v>0</x:v>
      </x:c>
      <x:c r="D28" s="22" t="n">
        <x:f>SUMIFS('Cash'!$C$5:$C$97,'Cash'!$A$5:$A$97,"&lt;="&amp;A28,'Cash'!$B$5:$B$97,"EXTERNAL_FUNDING")</x:f>
        <x:v>10000000</x:v>
      </x:c>
      <x:c r="E28" s="22" t="n">
        <x:f>SUMIFS('Cash'!$C$5:$C$97,'Cash'!$A$5:$A$97,"&lt;="&amp;A28,'Cash'!$B$5:$B$97,"DIVIDEND_NET")</x:f>
        <x:v>0</x:v>
      </x:c>
      <x:c r="F28" s="30" t="str">
        <x:v>n.a.</x:v>
      </x:c>
      <x:c r="G28" s="30" t="str">
        <x:v>n.a.</x:v>
      </x:c>
      <x:c r="H28" s="30" t="str">
        <x:v>n.a.</x:v>
      </x:c>
      <x:c r="I28" s="30" t="str">
        <x:f>IF(COUNT(B28,F28:H28)=4,B28+F28+G28-H28,"n.a.")</x:f>
        <x:v>n.a.</x:v>
      </x:c>
      <x:c r="J28" s="30" t="str">
        <x:v>n.a.</x:v>
      </x:c>
      <x:c r="K28" s="17"/>
      <x:c r="L28" s="17"/>
      <x:c r="M28" s="17"/>
      <x:c r="N28" s="17"/>
    </x:row>
    <x:row r="29" ht="21" customHeight="1">
      <x:c r="A29" s="27" t="d">
        <x:v>2025-07-24T00:00:00.000Z</x:v>
      </x:c>
      <x:c r="B29" s="22" t="n">
        <x:f>SUMIFS('Cash'!$C$5:$C$97,'Cash'!$A$5:$A$97,"&lt;="&amp;A29)</x:f>
        <x:v>147045</x:v>
      </x:c>
      <x:c r="C29" s="22" t="n">
        <x:f>SUMIFS('Cash'!$C$5:$C$97,'Cash'!$A$5:$A$97,A29)</x:f>
        <x:v>0</x:v>
      </x:c>
      <x:c r="D29" s="22" t="n">
        <x:f>SUMIFS('Cash'!$C$5:$C$97,'Cash'!$A$5:$A$97,"&lt;="&amp;A29,'Cash'!$B$5:$B$97,"EXTERNAL_FUNDING")</x:f>
        <x:v>10000000</x:v>
      </x:c>
      <x:c r="E29" s="22" t="n">
        <x:f>SUMIFS('Cash'!$C$5:$C$97,'Cash'!$A$5:$A$97,"&lt;="&amp;A29,'Cash'!$B$5:$B$97,"DIVIDEND_NET")</x:f>
        <x:v>0</x:v>
      </x:c>
      <x:c r="F29" s="30" t="str">
        <x:v>n.a.</x:v>
      </x:c>
      <x:c r="G29" s="30" t="str">
        <x:v>n.a.</x:v>
      </x:c>
      <x:c r="H29" s="30" t="str">
        <x:v>n.a.</x:v>
      </x:c>
      <x:c r="I29" s="30" t="str">
        <x:f>IF(COUNT(B29,F29:H29)=4,B29+F29+G29-H29,"n.a.")</x:f>
        <x:v>n.a.</x:v>
      </x:c>
      <x:c r="J29" s="30" t="str">
        <x:v>n.a.</x:v>
      </x:c>
      <x:c r="K29" s="17"/>
      <x:c r="L29" s="17"/>
      <x:c r="M29" s="17"/>
      <x:c r="N29" s="17"/>
    </x:row>
    <x:row r="30" ht="21" customHeight="1">
      <x:c r="A30" s="27" t="d">
        <x:v>2025-07-25T00:00:00.000Z</x:v>
      </x:c>
      <x:c r="B30" s="22" t="n">
        <x:f>SUMIFS('Cash'!$C$5:$C$97,'Cash'!$A$5:$A$97,"&lt;="&amp;A30)</x:f>
        <x:v>147045</x:v>
      </x:c>
      <x:c r="C30" s="22" t="n">
        <x:f>SUMIFS('Cash'!$C$5:$C$97,'Cash'!$A$5:$A$97,A30)</x:f>
        <x:v>0</x:v>
      </x:c>
      <x:c r="D30" s="22" t="n">
        <x:f>SUMIFS('Cash'!$C$5:$C$97,'Cash'!$A$5:$A$97,"&lt;="&amp;A30,'Cash'!$B$5:$B$97,"EXTERNAL_FUNDING")</x:f>
        <x:v>10000000</x:v>
      </x:c>
      <x:c r="E30" s="22" t="n">
        <x:f>SUMIFS('Cash'!$C$5:$C$97,'Cash'!$A$5:$A$97,"&lt;="&amp;A30,'Cash'!$B$5:$B$97,"DIVIDEND_NET")</x:f>
        <x:v>0</x:v>
      </x:c>
      <x:c r="F30" s="30" t="str">
        <x:v>n.a.</x:v>
      </x:c>
      <x:c r="G30" s="30" t="str">
        <x:v>n.a.</x:v>
      </x:c>
      <x:c r="H30" s="30" t="str">
        <x:v>n.a.</x:v>
      </x:c>
      <x:c r="I30" s="30" t="str">
        <x:f>IF(COUNT(B30,F30:H30)=4,B30+F30+G30-H30,"n.a.")</x:f>
        <x:v>n.a.</x:v>
      </x:c>
      <x:c r="J30" s="30" t="str">
        <x:v>n.a.</x:v>
      </x:c>
      <x:c r="K30" s="17"/>
      <x:c r="L30" s="17"/>
      <x:c r="M30" s="17"/>
      <x:c r="N30" s="17"/>
    </x:row>
    <x:row r="31" ht="21" customHeight="1">
      <x:c r="A31" s="27" t="d">
        <x:v>2025-07-26T00:00:00.000Z</x:v>
      </x:c>
      <x:c r="B31" s="22" t="n">
        <x:f>SUMIFS('Cash'!$C$5:$C$97,'Cash'!$A$5:$A$97,"&lt;="&amp;A31)</x:f>
        <x:v>147045</x:v>
      </x:c>
      <x:c r="C31" s="22" t="n">
        <x:f>SUMIFS('Cash'!$C$5:$C$97,'Cash'!$A$5:$A$97,A31)</x:f>
        <x:v>0</x:v>
      </x:c>
      <x:c r="D31" s="22" t="n">
        <x:f>SUMIFS('Cash'!$C$5:$C$97,'Cash'!$A$5:$A$97,"&lt;="&amp;A31,'Cash'!$B$5:$B$97,"EXTERNAL_FUNDING")</x:f>
        <x:v>10000000</x:v>
      </x:c>
      <x:c r="E31" s="22" t="n">
        <x:f>SUMIFS('Cash'!$C$5:$C$97,'Cash'!$A$5:$A$97,"&lt;="&amp;A31,'Cash'!$B$5:$B$97,"DIVIDEND_NET")</x:f>
        <x:v>0</x:v>
      </x:c>
      <x:c r="F31" s="30" t="str">
        <x:v>n.a.</x:v>
      </x:c>
      <x:c r="G31" s="30" t="str">
        <x:v>n.a.</x:v>
      </x:c>
      <x:c r="H31" s="30" t="str">
        <x:v>n.a.</x:v>
      </x:c>
      <x:c r="I31" s="30" t="str">
        <x:f>IF(COUNT(B31,F31:H31)=4,B31+F31+G31-H31,"n.a.")</x:f>
        <x:v>n.a.</x:v>
      </x:c>
      <x:c r="J31" s="30" t="str">
        <x:v>n.a.</x:v>
      </x:c>
      <x:c r="K31" s="17"/>
      <x:c r="L31" s="17"/>
      <x:c r="M31" s="17"/>
      <x:c r="N31" s="17"/>
    </x:row>
    <x:row r="32" ht="21" customHeight="1">
      <x:c r="A32" s="27" t="d">
        <x:v>2025-07-27T00:00:00.000Z</x:v>
      </x:c>
      <x:c r="B32" s="22" t="n">
        <x:f>SUMIFS('Cash'!$C$5:$C$97,'Cash'!$A$5:$A$97,"&lt;="&amp;A32)</x:f>
        <x:v>147045</x:v>
      </x:c>
      <x:c r="C32" s="22" t="n">
        <x:f>SUMIFS('Cash'!$C$5:$C$97,'Cash'!$A$5:$A$97,A32)</x:f>
        <x:v>0</x:v>
      </x:c>
      <x:c r="D32" s="22" t="n">
        <x:f>SUMIFS('Cash'!$C$5:$C$97,'Cash'!$A$5:$A$97,"&lt;="&amp;A32,'Cash'!$B$5:$B$97,"EXTERNAL_FUNDING")</x:f>
        <x:v>10000000</x:v>
      </x:c>
      <x:c r="E32" s="22" t="n">
        <x:f>SUMIFS('Cash'!$C$5:$C$97,'Cash'!$A$5:$A$97,"&lt;="&amp;A32,'Cash'!$B$5:$B$97,"DIVIDEND_NET")</x:f>
        <x:v>0</x:v>
      </x:c>
      <x:c r="F32" s="30" t="str">
        <x:v>n.a.</x:v>
      </x:c>
      <x:c r="G32" s="30" t="str">
        <x:v>n.a.</x:v>
      </x:c>
      <x:c r="H32" s="30" t="str">
        <x:v>n.a.</x:v>
      </x:c>
      <x:c r="I32" s="30" t="str">
        <x:f>IF(COUNT(B32,F32:H32)=4,B32+F32+G32-H32,"n.a.")</x:f>
        <x:v>n.a.</x:v>
      </x:c>
      <x:c r="J32" s="30" t="str">
        <x:v>n.a.</x:v>
      </x:c>
      <x:c r="K32" s="17"/>
      <x:c r="L32" s="17"/>
      <x:c r="M32" s="17"/>
      <x:c r="N32" s="17"/>
    </x:row>
    <x:row r="33" ht="21" customHeight="1">
      <x:c r="A33" s="27" t="d">
        <x:v>2025-07-28T00:00:00.000Z</x:v>
      </x:c>
      <x:c r="B33" s="22" t="n">
        <x:f>SUMIFS('Cash'!$C$5:$C$97,'Cash'!$A$5:$A$97,"&lt;="&amp;A33)</x:f>
        <x:v>147045</x:v>
      </x:c>
      <x:c r="C33" s="22" t="n">
        <x:f>SUMIFS('Cash'!$C$5:$C$97,'Cash'!$A$5:$A$97,A33)</x:f>
        <x:v>0</x:v>
      </x:c>
      <x:c r="D33" s="22" t="n">
        <x:f>SUMIFS('Cash'!$C$5:$C$97,'Cash'!$A$5:$A$97,"&lt;="&amp;A33,'Cash'!$B$5:$B$97,"EXTERNAL_FUNDING")</x:f>
        <x:v>10000000</x:v>
      </x:c>
      <x:c r="E33" s="22" t="n">
        <x:f>SUMIFS('Cash'!$C$5:$C$97,'Cash'!$A$5:$A$97,"&lt;="&amp;A33,'Cash'!$B$5:$B$97,"DIVIDEND_NET")</x:f>
        <x:v>0</x:v>
      </x:c>
      <x:c r="F33" s="30" t="str">
        <x:v>n.a.</x:v>
      </x:c>
      <x:c r="G33" s="30" t="str">
        <x:v>n.a.</x:v>
      </x:c>
      <x:c r="H33" s="30" t="str">
        <x:v>n.a.</x:v>
      </x:c>
      <x:c r="I33" s="30" t="str">
        <x:f>IF(COUNT(B33,F33:H33)=4,B33+F33+G33-H33,"n.a.")</x:f>
        <x:v>n.a.</x:v>
      </x:c>
      <x:c r="J33" s="30" t="str">
        <x:v>n.a.</x:v>
      </x:c>
      <x:c r="K33" s="17"/>
      <x:c r="L33" s="17"/>
      <x:c r="M33" s="17"/>
      <x:c r="N33" s="17"/>
    </x:row>
    <x:row r="34" ht="21" customHeight="1">
      <x:c r="A34" s="27" t="d">
        <x:v>2025-07-29T00:00:00.000Z</x:v>
      </x:c>
      <x:c r="B34" s="22" t="n">
        <x:f>SUMIFS('Cash'!$C$5:$C$97,'Cash'!$A$5:$A$97,"&lt;="&amp;A34)</x:f>
        <x:v>147045</x:v>
      </x:c>
      <x:c r="C34" s="22" t="n">
        <x:f>SUMIFS('Cash'!$C$5:$C$97,'Cash'!$A$5:$A$97,A34)</x:f>
        <x:v>0</x:v>
      </x:c>
      <x:c r="D34" s="22" t="n">
        <x:f>SUMIFS('Cash'!$C$5:$C$97,'Cash'!$A$5:$A$97,"&lt;="&amp;A34,'Cash'!$B$5:$B$97,"EXTERNAL_FUNDING")</x:f>
        <x:v>10000000</x:v>
      </x:c>
      <x:c r="E34" s="22" t="n">
        <x:f>SUMIFS('Cash'!$C$5:$C$97,'Cash'!$A$5:$A$97,"&lt;="&amp;A34,'Cash'!$B$5:$B$97,"DIVIDEND_NET")</x:f>
        <x:v>0</x:v>
      </x:c>
      <x:c r="F34" s="30" t="str">
        <x:v>n.a.</x:v>
      </x:c>
      <x:c r="G34" s="30" t="str">
        <x:v>n.a.</x:v>
      </x:c>
      <x:c r="H34" s="30" t="str">
        <x:v>n.a.</x:v>
      </x:c>
      <x:c r="I34" s="30" t="str">
        <x:f>IF(COUNT(B34,F34:H34)=4,B34+F34+G34-H34,"n.a.")</x:f>
        <x:v>n.a.</x:v>
      </x:c>
      <x:c r="J34" s="30" t="str">
        <x:v>n.a.</x:v>
      </x:c>
      <x:c r="K34" s="17"/>
      <x:c r="L34" s="17"/>
      <x:c r="M34" s="17"/>
      <x:c r="N34" s="17"/>
    </x:row>
    <x:row r="35" ht="21" customHeight="1">
      <x:c r="A35" s="27" t="d">
        <x:v>2025-07-30T00:00:00.000Z</x:v>
      </x:c>
      <x:c r="B35" s="22" t="n">
        <x:f>SUMIFS('Cash'!$C$5:$C$97,'Cash'!$A$5:$A$97,"&lt;="&amp;A35)</x:f>
        <x:v>147045</x:v>
      </x:c>
      <x:c r="C35" s="22" t="n">
        <x:f>SUMIFS('Cash'!$C$5:$C$97,'Cash'!$A$5:$A$97,A35)</x:f>
        <x:v>0</x:v>
      </x:c>
      <x:c r="D35" s="22" t="n">
        <x:f>SUMIFS('Cash'!$C$5:$C$97,'Cash'!$A$5:$A$97,"&lt;="&amp;A35,'Cash'!$B$5:$B$97,"EXTERNAL_FUNDING")</x:f>
        <x:v>10000000</x:v>
      </x:c>
      <x:c r="E35" s="22" t="n">
        <x:f>SUMIFS('Cash'!$C$5:$C$97,'Cash'!$A$5:$A$97,"&lt;="&amp;A35,'Cash'!$B$5:$B$97,"DIVIDEND_NET")</x:f>
        <x:v>0</x:v>
      </x:c>
      <x:c r="F35" s="30" t="str">
        <x:v>n.a.</x:v>
      </x:c>
      <x:c r="G35" s="30" t="str">
        <x:v>n.a.</x:v>
      </x:c>
      <x:c r="H35" s="30" t="str">
        <x:v>n.a.</x:v>
      </x:c>
      <x:c r="I35" s="30" t="str">
        <x:f>IF(COUNT(B35,F35:H35)=4,B35+F35+G35-H35,"n.a.")</x:f>
        <x:v>n.a.</x:v>
      </x:c>
      <x:c r="J35" s="30" t="str">
        <x:v>n.a.</x:v>
      </x:c>
      <x:c r="K35" s="17"/>
      <x:c r="L35" s="17"/>
      <x:c r="M35" s="17"/>
      <x:c r="N35" s="17"/>
    </x:row>
    <x:row r="36" ht="21" customHeight="1">
      <x:c r="A36" s="27" t="d">
        <x:v>2025-07-31T00:00:00.000Z</x:v>
      </x:c>
      <x:c r="B36" s="22" t="n">
        <x:f>SUMIFS('Cash'!$C$5:$C$97,'Cash'!$A$5:$A$97,"&lt;="&amp;A36)</x:f>
        <x:v>147368</x:v>
      </x:c>
      <x:c r="C36" s="22" t="n">
        <x:f>SUMIFS('Cash'!$C$5:$C$97,'Cash'!$A$5:$A$97,A36)</x:f>
        <x:v>323</x:v>
      </x:c>
      <x:c r="D36" s="22" t="n">
        <x:f>SUMIFS('Cash'!$C$5:$C$97,'Cash'!$A$5:$A$97,"&lt;="&amp;A36,'Cash'!$B$5:$B$97,"EXTERNAL_FUNDING")</x:f>
        <x:v>10000000</x:v>
      </x:c>
      <x:c r="E36" s="22" t="n">
        <x:f>SUMIFS('Cash'!$C$5:$C$97,'Cash'!$A$5:$A$97,"&lt;="&amp;A36,'Cash'!$B$5:$B$97,"DIVIDEND_NET")</x:f>
        <x:v>0</x:v>
      </x:c>
      <x:c r="F36" s="30" t="str">
        <x:v>n.a.</x:v>
      </x:c>
      <x:c r="G36" s="30" t="str">
        <x:v>n.a.</x:v>
      </x:c>
      <x:c r="H36" s="30" t="str">
        <x:v>n.a.</x:v>
      </x:c>
      <x:c r="I36" s="30" t="str">
        <x:f>IF(COUNT(B36,F36:H36)=4,B36+F36+G36-H36,"n.a.")</x:f>
        <x:v>n.a.</x:v>
      </x:c>
      <x:c r="J36" s="30" t="str">
        <x:v>n.a.</x:v>
      </x:c>
      <x:c r="K36" s="17"/>
      <x:c r="L36" s="17"/>
      <x:c r="M36" s="17"/>
      <x:c r="N36" s="17"/>
    </x:row>
    <x:row r="37" ht="21" customHeight="1">
      <x:c r="A37" s="27" t="d">
        <x:v>2025-08-01T00:00:00.000Z</x:v>
      </x:c>
      <x:c r="B37" s="22" t="n">
        <x:f>SUMIFS('Cash'!$C$5:$C$97,'Cash'!$A$5:$A$97,"&lt;="&amp;A37)</x:f>
        <x:v>147368</x:v>
      </x:c>
      <x:c r="C37" s="22" t="n">
        <x:f>SUMIFS('Cash'!$C$5:$C$97,'Cash'!$A$5:$A$97,A37)</x:f>
        <x:v>0</x:v>
      </x:c>
      <x:c r="D37" s="22" t="n">
        <x:f>SUMIFS('Cash'!$C$5:$C$97,'Cash'!$A$5:$A$97,"&lt;="&amp;A37,'Cash'!$B$5:$B$97,"EXTERNAL_FUNDING")</x:f>
        <x:v>10000000</x:v>
      </x:c>
      <x:c r="E37" s="22" t="n">
        <x:f>SUMIFS('Cash'!$C$5:$C$97,'Cash'!$A$5:$A$97,"&lt;="&amp;A37,'Cash'!$B$5:$B$97,"DIVIDEND_NET")</x:f>
        <x:v>0</x:v>
      </x:c>
      <x:c r="F37" s="30" t="str">
        <x:v>n.a.</x:v>
      </x:c>
      <x:c r="G37" s="30" t="str">
        <x:v>n.a.</x:v>
      </x:c>
      <x:c r="H37" s="30" t="str">
        <x:v>n.a.</x:v>
      </x:c>
      <x:c r="I37" s="30" t="str">
        <x:f>IF(COUNT(B37,F37:H37)=4,B37+F37+G37-H37,"n.a.")</x:f>
        <x:v>n.a.</x:v>
      </x:c>
      <x:c r="J37" s="30" t="str">
        <x:v>n.a.</x:v>
      </x:c>
      <x:c r="K37" s="17"/>
      <x:c r="L37" s="17"/>
      <x:c r="M37" s="17"/>
      <x:c r="N37" s="17"/>
    </x:row>
    <x:row r="38" ht="21" customHeight="1">
      <x:c r="A38" s="27" t="d">
        <x:v>2025-08-02T00:00:00.000Z</x:v>
      </x:c>
      <x:c r="B38" s="22" t="n">
        <x:f>SUMIFS('Cash'!$C$5:$C$97,'Cash'!$A$5:$A$97,"&lt;="&amp;A38)</x:f>
        <x:v>147368</x:v>
      </x:c>
      <x:c r="C38" s="22" t="n">
        <x:f>SUMIFS('Cash'!$C$5:$C$97,'Cash'!$A$5:$A$97,A38)</x:f>
        <x:v>0</x:v>
      </x:c>
      <x:c r="D38" s="22" t="n">
        <x:f>SUMIFS('Cash'!$C$5:$C$97,'Cash'!$A$5:$A$97,"&lt;="&amp;A38,'Cash'!$B$5:$B$97,"EXTERNAL_FUNDING")</x:f>
        <x:v>10000000</x:v>
      </x:c>
      <x:c r="E38" s="22" t="n">
        <x:f>SUMIFS('Cash'!$C$5:$C$97,'Cash'!$A$5:$A$97,"&lt;="&amp;A38,'Cash'!$B$5:$B$97,"DIVIDEND_NET")</x:f>
        <x:v>0</x:v>
      </x:c>
      <x:c r="F38" s="30" t="str">
        <x:v>n.a.</x:v>
      </x:c>
      <x:c r="G38" s="30" t="str">
        <x:v>n.a.</x:v>
      </x:c>
      <x:c r="H38" s="30" t="str">
        <x:v>n.a.</x:v>
      </x:c>
      <x:c r="I38" s="30" t="str">
        <x:f>IF(COUNT(B38,F38:H38)=4,B38+F38+G38-H38,"n.a.")</x:f>
        <x:v>n.a.</x:v>
      </x:c>
      <x:c r="J38" s="30" t="str">
        <x:v>n.a.</x:v>
      </x:c>
      <x:c r="K38" s="17"/>
      <x:c r="L38" s="17"/>
      <x:c r="M38" s="17"/>
      <x:c r="N38" s="17"/>
    </x:row>
    <x:row r="39" ht="21" customHeight="1">
      <x:c r="A39" s="27" t="d">
        <x:v>2025-08-03T00:00:00.000Z</x:v>
      </x:c>
      <x:c r="B39" s="22" t="n">
        <x:f>SUMIFS('Cash'!$C$5:$C$97,'Cash'!$A$5:$A$97,"&lt;="&amp;A39)</x:f>
        <x:v>147368</x:v>
      </x:c>
      <x:c r="C39" s="22" t="n">
        <x:f>SUMIFS('Cash'!$C$5:$C$97,'Cash'!$A$5:$A$97,A39)</x:f>
        <x:v>0</x:v>
      </x:c>
      <x:c r="D39" s="22" t="n">
        <x:f>SUMIFS('Cash'!$C$5:$C$97,'Cash'!$A$5:$A$97,"&lt;="&amp;A39,'Cash'!$B$5:$B$97,"EXTERNAL_FUNDING")</x:f>
        <x:v>10000000</x:v>
      </x:c>
      <x:c r="E39" s="22" t="n">
        <x:f>SUMIFS('Cash'!$C$5:$C$97,'Cash'!$A$5:$A$97,"&lt;="&amp;A39,'Cash'!$B$5:$B$97,"DIVIDEND_NET")</x:f>
        <x:v>0</x:v>
      </x:c>
      <x:c r="F39" s="30" t="str">
        <x:v>n.a.</x:v>
      </x:c>
      <x:c r="G39" s="30" t="str">
        <x:v>n.a.</x:v>
      </x:c>
      <x:c r="H39" s="30" t="str">
        <x:v>n.a.</x:v>
      </x:c>
      <x:c r="I39" s="30" t="str">
        <x:f>IF(COUNT(B39,F39:H39)=4,B39+F39+G39-H39,"n.a.")</x:f>
        <x:v>n.a.</x:v>
      </x:c>
      <x:c r="J39" s="30" t="str">
        <x:v>n.a.</x:v>
      </x:c>
      <x:c r="K39" s="17"/>
      <x:c r="L39" s="17"/>
      <x:c r="M39" s="17"/>
      <x:c r="N39" s="17"/>
    </x:row>
    <x:row r="40" ht="21" customHeight="1">
      <x:c r="A40" s="27" t="d">
        <x:v>2025-08-04T00:00:00.000Z</x:v>
      </x:c>
      <x:c r="B40" s="22" t="n">
        <x:f>SUMIFS('Cash'!$C$5:$C$97,'Cash'!$A$5:$A$97,"&lt;="&amp;A40)</x:f>
        <x:v>147368</x:v>
      </x:c>
      <x:c r="C40" s="22" t="n">
        <x:f>SUMIFS('Cash'!$C$5:$C$97,'Cash'!$A$5:$A$97,A40)</x:f>
        <x:v>0</x:v>
      </x:c>
      <x:c r="D40" s="22" t="n">
        <x:f>SUMIFS('Cash'!$C$5:$C$97,'Cash'!$A$5:$A$97,"&lt;="&amp;A40,'Cash'!$B$5:$B$97,"EXTERNAL_FUNDING")</x:f>
        <x:v>10000000</x:v>
      </x:c>
      <x:c r="E40" s="22" t="n">
        <x:f>SUMIFS('Cash'!$C$5:$C$97,'Cash'!$A$5:$A$97,"&lt;="&amp;A40,'Cash'!$B$5:$B$97,"DIVIDEND_NET")</x:f>
        <x:v>0</x:v>
      </x:c>
      <x:c r="F40" s="30" t="str">
        <x:v>n.a.</x:v>
      </x:c>
      <x:c r="G40" s="30" t="str">
        <x:v>n.a.</x:v>
      </x:c>
      <x:c r="H40" s="30" t="str">
        <x:v>n.a.</x:v>
      </x:c>
      <x:c r="I40" s="30" t="str">
        <x:f>IF(COUNT(B40,F40:H40)=4,B40+F40+G40-H40,"n.a.")</x:f>
        <x:v>n.a.</x:v>
      </x:c>
      <x:c r="J40" s="30" t="str">
        <x:v>n.a.</x:v>
      </x:c>
      <x:c r="K40" s="17"/>
      <x:c r="L40" s="17"/>
      <x:c r="M40" s="17"/>
      <x:c r="N40" s="17"/>
    </x:row>
    <x:row r="41" ht="21" customHeight="1">
      <x:c r="A41" s="27" t="d">
        <x:v>2025-08-05T00:00:00.000Z</x:v>
      </x:c>
      <x:c r="B41" s="22" t="n">
        <x:f>SUMIFS('Cash'!$C$5:$C$97,'Cash'!$A$5:$A$97,"&lt;="&amp;A41)</x:f>
        <x:v>147368</x:v>
      </x:c>
      <x:c r="C41" s="22" t="n">
        <x:f>SUMIFS('Cash'!$C$5:$C$97,'Cash'!$A$5:$A$97,A41)</x:f>
        <x:v>0</x:v>
      </x:c>
      <x:c r="D41" s="22" t="n">
        <x:f>SUMIFS('Cash'!$C$5:$C$97,'Cash'!$A$5:$A$97,"&lt;="&amp;A41,'Cash'!$B$5:$B$97,"EXTERNAL_FUNDING")</x:f>
        <x:v>10000000</x:v>
      </x:c>
      <x:c r="E41" s="22" t="n">
        <x:f>SUMIFS('Cash'!$C$5:$C$97,'Cash'!$A$5:$A$97,"&lt;="&amp;A41,'Cash'!$B$5:$B$97,"DIVIDEND_NET")</x:f>
        <x:v>0</x:v>
      </x:c>
      <x:c r="F41" s="30" t="str">
        <x:v>n.a.</x:v>
      </x:c>
      <x:c r="G41" s="30" t="str">
        <x:v>n.a.</x:v>
      </x:c>
      <x:c r="H41" s="30" t="str">
        <x:v>n.a.</x:v>
      </x:c>
      <x:c r="I41" s="30" t="str">
        <x:f>IF(COUNT(B41,F41:H41)=4,B41+F41+G41-H41,"n.a.")</x:f>
        <x:v>n.a.</x:v>
      </x:c>
      <x:c r="J41" s="30" t="str">
        <x:v>n.a.</x:v>
      </x:c>
      <x:c r="K41" s="17"/>
      <x:c r="L41" s="17"/>
      <x:c r="M41" s="17"/>
      <x:c r="N41" s="17"/>
    </x:row>
    <x:row r="42" ht="21" customHeight="1">
      <x:c r="A42" s="27" t="d">
        <x:v>2025-08-06T00:00:00.000Z</x:v>
      </x:c>
      <x:c r="B42" s="22" t="n">
        <x:f>SUMIFS('Cash'!$C$5:$C$97,'Cash'!$A$5:$A$97,"&lt;="&amp;A42)</x:f>
        <x:v>147368</x:v>
      </x:c>
      <x:c r="C42" s="22" t="n">
        <x:f>SUMIFS('Cash'!$C$5:$C$97,'Cash'!$A$5:$A$97,A42)</x:f>
        <x:v>0</x:v>
      </x:c>
      <x:c r="D42" s="22" t="n">
        <x:f>SUMIFS('Cash'!$C$5:$C$97,'Cash'!$A$5:$A$97,"&lt;="&amp;A42,'Cash'!$B$5:$B$97,"EXTERNAL_FUNDING")</x:f>
        <x:v>10000000</x:v>
      </x:c>
      <x:c r="E42" s="22" t="n">
        <x:f>SUMIFS('Cash'!$C$5:$C$97,'Cash'!$A$5:$A$97,"&lt;="&amp;A42,'Cash'!$B$5:$B$97,"DIVIDEND_NET")</x:f>
        <x:v>0</x:v>
      </x:c>
      <x:c r="F42" s="30" t="str">
        <x:v>n.a.</x:v>
      </x:c>
      <x:c r="G42" s="30" t="str">
        <x:v>n.a.</x:v>
      </x:c>
      <x:c r="H42" s="30" t="str">
        <x:v>n.a.</x:v>
      </x:c>
      <x:c r="I42" s="30" t="str">
        <x:f>IF(COUNT(B42,F42:H42)=4,B42+F42+G42-H42,"n.a.")</x:f>
        <x:v>n.a.</x:v>
      </x:c>
      <x:c r="J42" s="30" t="str">
        <x:v>n.a.</x:v>
      </x:c>
      <x:c r="K42" s="17"/>
      <x:c r="L42" s="17"/>
      <x:c r="M42" s="17"/>
      <x:c r="N42" s="17"/>
    </x:row>
    <x:row r="43" ht="21" customHeight="1">
      <x:c r="A43" s="27" t="d">
        <x:v>2025-08-07T00:00:00.000Z</x:v>
      </x:c>
      <x:c r="B43" s="22" t="n">
        <x:f>SUMIFS('Cash'!$C$5:$C$97,'Cash'!$A$5:$A$97,"&lt;="&amp;A43)</x:f>
        <x:v>147368</x:v>
      </x:c>
      <x:c r="C43" s="22" t="n">
        <x:f>SUMIFS('Cash'!$C$5:$C$97,'Cash'!$A$5:$A$97,A43)</x:f>
        <x:v>0</x:v>
      </x:c>
      <x:c r="D43" s="22" t="n">
        <x:f>SUMIFS('Cash'!$C$5:$C$97,'Cash'!$A$5:$A$97,"&lt;="&amp;A43,'Cash'!$B$5:$B$97,"EXTERNAL_FUNDING")</x:f>
        <x:v>10000000</x:v>
      </x:c>
      <x:c r="E43" s="22" t="n">
        <x:f>SUMIFS('Cash'!$C$5:$C$97,'Cash'!$A$5:$A$97,"&lt;="&amp;A43,'Cash'!$B$5:$B$97,"DIVIDEND_NET")</x:f>
        <x:v>0</x:v>
      </x:c>
      <x:c r="F43" s="30" t="str">
        <x:v>n.a.</x:v>
      </x:c>
      <x:c r="G43" s="30" t="str">
        <x:v>n.a.</x:v>
      </x:c>
      <x:c r="H43" s="30" t="str">
        <x:v>n.a.</x:v>
      </x:c>
      <x:c r="I43" s="30" t="str">
        <x:f>IF(COUNT(B43,F43:H43)=4,B43+F43+G43-H43,"n.a.")</x:f>
        <x:v>n.a.</x:v>
      </x:c>
      <x:c r="J43" s="30" t="str">
        <x:v>n.a.</x:v>
      </x:c>
      <x:c r="K43" s="17"/>
      <x:c r="L43" s="17"/>
      <x:c r="M43" s="17"/>
      <x:c r="N43" s="17"/>
    </x:row>
    <x:row r="44" ht="21" customHeight="1">
      <x:c r="A44" s="27" t="d">
        <x:v>2025-08-08T00:00:00.000Z</x:v>
      </x:c>
      <x:c r="B44" s="22" t="n">
        <x:f>SUMIFS('Cash'!$C$5:$C$97,'Cash'!$A$5:$A$97,"&lt;="&amp;A44)</x:f>
        <x:v>147368</x:v>
      </x:c>
      <x:c r="C44" s="22" t="n">
        <x:f>SUMIFS('Cash'!$C$5:$C$97,'Cash'!$A$5:$A$97,A44)</x:f>
        <x:v>0</x:v>
      </x:c>
      <x:c r="D44" s="22" t="n">
        <x:f>SUMIFS('Cash'!$C$5:$C$97,'Cash'!$A$5:$A$97,"&lt;="&amp;A44,'Cash'!$B$5:$B$97,"EXTERNAL_FUNDING")</x:f>
        <x:v>10000000</x:v>
      </x:c>
      <x:c r="E44" s="22" t="n">
        <x:f>SUMIFS('Cash'!$C$5:$C$97,'Cash'!$A$5:$A$97,"&lt;="&amp;A44,'Cash'!$B$5:$B$97,"DIVIDEND_NET")</x:f>
        <x:v>0</x:v>
      </x:c>
      <x:c r="F44" s="30" t="str">
        <x:v>n.a.</x:v>
      </x:c>
      <x:c r="G44" s="30" t="str">
        <x:v>n.a.</x:v>
      </x:c>
      <x:c r="H44" s="30" t="str">
        <x:v>n.a.</x:v>
      </x:c>
      <x:c r="I44" s="30" t="str">
        <x:f>IF(COUNT(B44,F44:H44)=4,B44+F44+G44-H44,"n.a.")</x:f>
        <x:v>n.a.</x:v>
      </x:c>
      <x:c r="J44" s="30" t="str">
        <x:v>n.a.</x:v>
      </x:c>
      <x:c r="K44" s="17"/>
      <x:c r="L44" s="17"/>
      <x:c r="M44" s="17"/>
      <x:c r="N44" s="17"/>
    </x:row>
    <x:row r="45" ht="21" customHeight="1">
      <x:c r="A45" s="27" t="d">
        <x:v>2025-08-09T00:00:00.000Z</x:v>
      </x:c>
      <x:c r="B45" s="22" t="n">
        <x:f>SUMIFS('Cash'!$C$5:$C$97,'Cash'!$A$5:$A$97,"&lt;="&amp;A45)</x:f>
        <x:v>147368</x:v>
      </x:c>
      <x:c r="C45" s="22" t="n">
        <x:f>SUMIFS('Cash'!$C$5:$C$97,'Cash'!$A$5:$A$97,A45)</x:f>
        <x:v>0</x:v>
      </x:c>
      <x:c r="D45" s="22" t="n">
        <x:f>SUMIFS('Cash'!$C$5:$C$97,'Cash'!$A$5:$A$97,"&lt;="&amp;A45,'Cash'!$B$5:$B$97,"EXTERNAL_FUNDING")</x:f>
        <x:v>10000000</x:v>
      </x:c>
      <x:c r="E45" s="22" t="n">
        <x:f>SUMIFS('Cash'!$C$5:$C$97,'Cash'!$A$5:$A$97,"&lt;="&amp;A45,'Cash'!$B$5:$B$97,"DIVIDEND_NET")</x:f>
        <x:v>0</x:v>
      </x:c>
      <x:c r="F45" s="30" t="str">
        <x:v>n.a.</x:v>
      </x:c>
      <x:c r="G45" s="30" t="str">
        <x:v>n.a.</x:v>
      </x:c>
      <x:c r="H45" s="30" t="str">
        <x:v>n.a.</x:v>
      </x:c>
      <x:c r="I45" s="30" t="str">
        <x:f>IF(COUNT(B45,F45:H45)=4,B45+F45+G45-H45,"n.a.")</x:f>
        <x:v>n.a.</x:v>
      </x:c>
      <x:c r="J45" s="30" t="str">
        <x:v>n.a.</x:v>
      </x:c>
      <x:c r="K45" s="17"/>
      <x:c r="L45" s="17"/>
      <x:c r="M45" s="17"/>
      <x:c r="N45" s="17"/>
    </x:row>
    <x:row r="46" ht="21" customHeight="1">
      <x:c r="A46" s="27" t="d">
        <x:v>2025-08-10T00:00:00.000Z</x:v>
      </x:c>
      <x:c r="B46" s="22" t="n">
        <x:f>SUMIFS('Cash'!$C$5:$C$97,'Cash'!$A$5:$A$97,"&lt;="&amp;A46)</x:f>
        <x:v>147368</x:v>
      </x:c>
      <x:c r="C46" s="22" t="n">
        <x:f>SUMIFS('Cash'!$C$5:$C$97,'Cash'!$A$5:$A$97,A46)</x:f>
        <x:v>0</x:v>
      </x:c>
      <x:c r="D46" s="22" t="n">
        <x:f>SUMIFS('Cash'!$C$5:$C$97,'Cash'!$A$5:$A$97,"&lt;="&amp;A46,'Cash'!$B$5:$B$97,"EXTERNAL_FUNDING")</x:f>
        <x:v>10000000</x:v>
      </x:c>
      <x:c r="E46" s="22" t="n">
        <x:f>SUMIFS('Cash'!$C$5:$C$97,'Cash'!$A$5:$A$97,"&lt;="&amp;A46,'Cash'!$B$5:$B$97,"DIVIDEND_NET")</x:f>
        <x:v>0</x:v>
      </x:c>
      <x:c r="F46" s="30" t="str">
        <x:v>n.a.</x:v>
      </x:c>
      <x:c r="G46" s="30" t="str">
        <x:v>n.a.</x:v>
      </x:c>
      <x:c r="H46" s="30" t="str">
        <x:v>n.a.</x:v>
      </x:c>
      <x:c r="I46" s="30" t="str">
        <x:f>IF(COUNT(B46,F46:H46)=4,B46+F46+G46-H46,"n.a.")</x:f>
        <x:v>n.a.</x:v>
      </x:c>
      <x:c r="J46" s="30" t="str">
        <x:v>n.a.</x:v>
      </x:c>
      <x:c r="K46" s="17"/>
      <x:c r="L46" s="17"/>
      <x:c r="M46" s="17"/>
      <x:c r="N46" s="17"/>
    </x:row>
    <x:row r="47" ht="21" customHeight="1">
      <x:c r="A47" s="27" t="d">
        <x:v>2025-08-11T00:00:00.000Z</x:v>
      </x:c>
      <x:c r="B47" s="22" t="n">
        <x:f>SUMIFS('Cash'!$C$5:$C$97,'Cash'!$A$5:$A$97,"&lt;="&amp;A47)</x:f>
        <x:v>147368</x:v>
      </x:c>
      <x:c r="C47" s="22" t="n">
        <x:f>SUMIFS('Cash'!$C$5:$C$97,'Cash'!$A$5:$A$97,A47)</x:f>
        <x:v>0</x:v>
      </x:c>
      <x:c r="D47" s="22" t="n">
        <x:f>SUMIFS('Cash'!$C$5:$C$97,'Cash'!$A$5:$A$97,"&lt;="&amp;A47,'Cash'!$B$5:$B$97,"EXTERNAL_FUNDING")</x:f>
        <x:v>10000000</x:v>
      </x:c>
      <x:c r="E47" s="22" t="n">
        <x:f>SUMIFS('Cash'!$C$5:$C$97,'Cash'!$A$5:$A$97,"&lt;="&amp;A47,'Cash'!$B$5:$B$97,"DIVIDEND_NET")</x:f>
        <x:v>0</x:v>
      </x:c>
      <x:c r="F47" s="30" t="str">
        <x:v>n.a.</x:v>
      </x:c>
      <x:c r="G47" s="30" t="str">
        <x:v>n.a.</x:v>
      </x:c>
      <x:c r="H47" s="30" t="str">
        <x:v>n.a.</x:v>
      </x:c>
      <x:c r="I47" s="30" t="str">
        <x:f>IF(COUNT(B47,F47:H47)=4,B47+F47+G47-H47,"n.a.")</x:f>
        <x:v>n.a.</x:v>
      </x:c>
      <x:c r="J47" s="30" t="str">
        <x:v>n.a.</x:v>
      </x:c>
      <x:c r="K47" s="17"/>
      <x:c r="L47" s="17"/>
      <x:c r="M47" s="17"/>
      <x:c r="N47" s="17"/>
    </x:row>
    <x:row r="48" ht="21" customHeight="1">
      <x:c r="A48" s="27" t="d">
        <x:v>2025-08-12T00:00:00.000Z</x:v>
      </x:c>
      <x:c r="B48" s="22" t="n">
        <x:f>SUMIFS('Cash'!$C$5:$C$97,'Cash'!$A$5:$A$97,"&lt;="&amp;A48)</x:f>
        <x:v>147368</x:v>
      </x:c>
      <x:c r="C48" s="22" t="n">
        <x:f>SUMIFS('Cash'!$C$5:$C$97,'Cash'!$A$5:$A$97,A48)</x:f>
        <x:v>0</x:v>
      </x:c>
      <x:c r="D48" s="22" t="n">
        <x:f>SUMIFS('Cash'!$C$5:$C$97,'Cash'!$A$5:$A$97,"&lt;="&amp;A48,'Cash'!$B$5:$B$97,"EXTERNAL_FUNDING")</x:f>
        <x:v>10000000</x:v>
      </x:c>
      <x:c r="E48" s="22" t="n">
        <x:f>SUMIFS('Cash'!$C$5:$C$97,'Cash'!$A$5:$A$97,"&lt;="&amp;A48,'Cash'!$B$5:$B$97,"DIVIDEND_NET")</x:f>
        <x:v>0</x:v>
      </x:c>
      <x:c r="F48" s="30" t="str">
        <x:v>n.a.</x:v>
      </x:c>
      <x:c r="G48" s="30" t="str">
        <x:v>n.a.</x:v>
      </x:c>
      <x:c r="H48" s="30" t="str">
        <x:v>n.a.</x:v>
      </x:c>
      <x:c r="I48" s="30" t="str">
        <x:f>IF(COUNT(B48,F48:H48)=4,B48+F48+G48-H48,"n.a.")</x:f>
        <x:v>n.a.</x:v>
      </x:c>
      <x:c r="J48" s="30" t="str">
        <x:v>n.a.</x:v>
      </x:c>
      <x:c r="K48" s="17"/>
      <x:c r="L48" s="17"/>
      <x:c r="M48" s="17"/>
      <x:c r="N48" s="17"/>
    </x:row>
    <x:row r="49" ht="21" customHeight="1">
      <x:c r="A49" s="27" t="d">
        <x:v>2025-08-13T00:00:00.000Z</x:v>
      </x:c>
      <x:c r="B49" s="22" t="n">
        <x:f>SUMIFS('Cash'!$C$5:$C$97,'Cash'!$A$5:$A$97,"&lt;="&amp;A49)</x:f>
        <x:v>147368</x:v>
      </x:c>
      <x:c r="C49" s="22" t="n">
        <x:f>SUMIFS('Cash'!$C$5:$C$97,'Cash'!$A$5:$A$97,A49)</x:f>
        <x:v>0</x:v>
      </x:c>
      <x:c r="D49" s="22" t="n">
        <x:f>SUMIFS('Cash'!$C$5:$C$97,'Cash'!$A$5:$A$97,"&lt;="&amp;A49,'Cash'!$B$5:$B$97,"EXTERNAL_FUNDING")</x:f>
        <x:v>10000000</x:v>
      </x:c>
      <x:c r="E49" s="22" t="n">
        <x:f>SUMIFS('Cash'!$C$5:$C$97,'Cash'!$A$5:$A$97,"&lt;="&amp;A49,'Cash'!$B$5:$B$97,"DIVIDEND_NET")</x:f>
        <x:v>0</x:v>
      </x:c>
      <x:c r="F49" s="30" t="str">
        <x:v>n.a.</x:v>
      </x:c>
      <x:c r="G49" s="30" t="str">
        <x:v>n.a.</x:v>
      </x:c>
      <x:c r="H49" s="30" t="str">
        <x:v>n.a.</x:v>
      </x:c>
      <x:c r="I49" s="30" t="str">
        <x:f>IF(COUNT(B49,F49:H49)=4,B49+F49+G49-H49,"n.a.")</x:f>
        <x:v>n.a.</x:v>
      </x:c>
      <x:c r="J49" s="30" t="str">
        <x:v>n.a.</x:v>
      </x:c>
      <x:c r="K49" s="17"/>
      <x:c r="L49" s="17"/>
      <x:c r="M49" s="17"/>
      <x:c r="N49" s="17"/>
    </x:row>
    <x:row r="50" ht="21" customHeight="1">
      <x:c r="A50" s="27" t="d">
        <x:v>2025-08-14T00:00:00.000Z</x:v>
      </x:c>
      <x:c r="B50" s="22" t="n">
        <x:f>SUMIFS('Cash'!$C$5:$C$97,'Cash'!$A$5:$A$97,"&lt;="&amp;A50)</x:f>
        <x:v>39</x:v>
      </x:c>
      <x:c r="C50" s="22" t="n">
        <x:f>SUMIFS('Cash'!$C$5:$C$97,'Cash'!$A$5:$A$97,A50)</x:f>
        <x:v>-147329</x:v>
      </x:c>
      <x:c r="D50" s="22" t="n">
        <x:f>SUMIFS('Cash'!$C$5:$C$97,'Cash'!$A$5:$A$97,"&lt;="&amp;A50,'Cash'!$B$5:$B$97,"EXTERNAL_FUNDING")</x:f>
        <x:v>19235485</x:v>
      </x:c>
      <x:c r="E50" s="22" t="n">
        <x:f>SUMIFS('Cash'!$C$5:$C$97,'Cash'!$A$5:$A$97,"&lt;="&amp;A50,'Cash'!$B$5:$B$97,"DIVIDEND_NET")</x:f>
        <x:v>0</x:v>
      </x:c>
      <x:c r="F50" s="30" t="str">
        <x:v>n.a.</x:v>
      </x:c>
      <x:c r="G50" s="30" t="str">
        <x:v>n.a.</x:v>
      </x:c>
      <x:c r="H50" s="30" t="str">
        <x:v>n.a.</x:v>
      </x:c>
      <x:c r="I50" s="30" t="str">
        <x:f>IF(COUNT(B50,F50:H50)=4,B50+F50+G50-H50,"n.a.")</x:f>
        <x:v>n.a.</x:v>
      </x:c>
      <x:c r="J50" s="30" t="str">
        <x:v>n.a.</x:v>
      </x:c>
      <x:c r="K50" s="17"/>
      <x:c r="L50" s="17"/>
      <x:c r="M50" s="17"/>
      <x:c r="N50" s="17"/>
    </x:row>
    <x:row r="51" ht="21" customHeight="1">
      <x:c r="A51" s="27" t="d">
        <x:v>2025-08-15T00:00:00.000Z</x:v>
      </x:c>
      <x:c r="B51" s="22" t="n">
        <x:f>SUMIFS('Cash'!$C$5:$C$97,'Cash'!$A$5:$A$97,"&lt;="&amp;A51)</x:f>
        <x:v>39</x:v>
      </x:c>
      <x:c r="C51" s="22" t="n">
        <x:f>SUMIFS('Cash'!$C$5:$C$97,'Cash'!$A$5:$A$97,A51)</x:f>
        <x:v>0</x:v>
      </x:c>
      <x:c r="D51" s="22" t="n">
        <x:f>SUMIFS('Cash'!$C$5:$C$97,'Cash'!$A$5:$A$97,"&lt;="&amp;A51,'Cash'!$B$5:$B$97,"EXTERNAL_FUNDING")</x:f>
        <x:v>19235485</x:v>
      </x:c>
      <x:c r="E51" s="22" t="n">
        <x:f>SUMIFS('Cash'!$C$5:$C$97,'Cash'!$A$5:$A$97,"&lt;="&amp;A51,'Cash'!$B$5:$B$97,"DIVIDEND_NET")</x:f>
        <x:v>0</x:v>
      </x:c>
      <x:c r="F51" s="30" t="str">
        <x:v>n.a.</x:v>
      </x:c>
      <x:c r="G51" s="30" t="str">
        <x:v>n.a.</x:v>
      </x:c>
      <x:c r="H51" s="30" t="str">
        <x:v>n.a.</x:v>
      </x:c>
      <x:c r="I51" s="30" t="str">
        <x:f>IF(COUNT(B51,F51:H51)=4,B51+F51+G51-H51,"n.a.")</x:f>
        <x:v>n.a.</x:v>
      </x:c>
      <x:c r="J51" s="30" t="str">
        <x:v>n.a.</x:v>
      </x:c>
      <x:c r="K51" s="17"/>
      <x:c r="L51" s="17"/>
      <x:c r="M51" s="17"/>
      <x:c r="N51" s="17"/>
    </x:row>
    <x:row r="52" ht="21" customHeight="1">
      <x:c r="A52" s="27" t="d">
        <x:v>2025-08-16T00:00:00.000Z</x:v>
      </x:c>
      <x:c r="B52" s="22" t="n">
        <x:f>SUMIFS('Cash'!$C$5:$C$97,'Cash'!$A$5:$A$97,"&lt;="&amp;A52)</x:f>
        <x:v>39</x:v>
      </x:c>
      <x:c r="C52" s="22" t="n">
        <x:f>SUMIFS('Cash'!$C$5:$C$97,'Cash'!$A$5:$A$97,A52)</x:f>
        <x:v>0</x:v>
      </x:c>
      <x:c r="D52" s="22" t="n">
        <x:f>SUMIFS('Cash'!$C$5:$C$97,'Cash'!$A$5:$A$97,"&lt;="&amp;A52,'Cash'!$B$5:$B$97,"EXTERNAL_FUNDING")</x:f>
        <x:v>19235485</x:v>
      </x:c>
      <x:c r="E52" s="22" t="n">
        <x:f>SUMIFS('Cash'!$C$5:$C$97,'Cash'!$A$5:$A$97,"&lt;="&amp;A52,'Cash'!$B$5:$B$97,"DIVIDEND_NET")</x:f>
        <x:v>0</x:v>
      </x:c>
      <x:c r="F52" s="30" t="str">
        <x:v>n.a.</x:v>
      </x:c>
      <x:c r="G52" s="30" t="str">
        <x:v>n.a.</x:v>
      </x:c>
      <x:c r="H52" s="30" t="str">
        <x:v>n.a.</x:v>
      </x:c>
      <x:c r="I52" s="30" t="str">
        <x:f>IF(COUNT(B52,F52:H52)=4,B52+F52+G52-H52,"n.a.")</x:f>
        <x:v>n.a.</x:v>
      </x:c>
      <x:c r="J52" s="30" t="str">
        <x:v>n.a.</x:v>
      </x:c>
      <x:c r="K52" s="17"/>
      <x:c r="L52" s="17"/>
      <x:c r="M52" s="17"/>
      <x:c r="N52" s="17"/>
    </x:row>
    <x:row r="53" ht="21" customHeight="1">
      <x:c r="A53" s="27" t="d">
        <x:v>2025-08-17T00:00:00.000Z</x:v>
      </x:c>
      <x:c r="B53" s="22" t="n">
        <x:f>SUMIFS('Cash'!$C$5:$C$97,'Cash'!$A$5:$A$97,"&lt;="&amp;A53)</x:f>
        <x:v>39</x:v>
      </x:c>
      <x:c r="C53" s="22" t="n">
        <x:f>SUMIFS('Cash'!$C$5:$C$97,'Cash'!$A$5:$A$97,A53)</x:f>
        <x:v>0</x:v>
      </x:c>
      <x:c r="D53" s="22" t="n">
        <x:f>SUMIFS('Cash'!$C$5:$C$97,'Cash'!$A$5:$A$97,"&lt;="&amp;A53,'Cash'!$B$5:$B$97,"EXTERNAL_FUNDING")</x:f>
        <x:v>19235485</x:v>
      </x:c>
      <x:c r="E53" s="22" t="n">
        <x:f>SUMIFS('Cash'!$C$5:$C$97,'Cash'!$A$5:$A$97,"&lt;="&amp;A53,'Cash'!$B$5:$B$97,"DIVIDEND_NET")</x:f>
        <x:v>0</x:v>
      </x:c>
      <x:c r="F53" s="30" t="str">
        <x:v>n.a.</x:v>
      </x:c>
      <x:c r="G53" s="30" t="str">
        <x:v>n.a.</x:v>
      </x:c>
      <x:c r="H53" s="30" t="str">
        <x:v>n.a.</x:v>
      </x:c>
      <x:c r="I53" s="30" t="str">
        <x:f>IF(COUNT(B53,F53:H53)=4,B53+F53+G53-H53,"n.a.")</x:f>
        <x:v>n.a.</x:v>
      </x:c>
      <x:c r="J53" s="30" t="str">
        <x:v>n.a.</x:v>
      </x:c>
      <x:c r="K53" s="17"/>
      <x:c r="L53" s="17"/>
      <x:c r="M53" s="17"/>
      <x:c r="N53" s="17"/>
    </x:row>
    <x:row r="54" ht="21" customHeight="1">
      <x:c r="A54" s="27" t="d">
        <x:v>2025-08-18T00:00:00.000Z</x:v>
      </x:c>
      <x:c r="B54" s="22" t="n">
        <x:f>SUMIFS('Cash'!$C$5:$C$97,'Cash'!$A$5:$A$97,"&lt;="&amp;A54)</x:f>
        <x:v>39</x:v>
      </x:c>
      <x:c r="C54" s="22" t="n">
        <x:f>SUMIFS('Cash'!$C$5:$C$97,'Cash'!$A$5:$A$97,A54)</x:f>
        <x:v>0</x:v>
      </x:c>
      <x:c r="D54" s="22" t="n">
        <x:f>SUMIFS('Cash'!$C$5:$C$97,'Cash'!$A$5:$A$97,"&lt;="&amp;A54,'Cash'!$B$5:$B$97,"EXTERNAL_FUNDING")</x:f>
        <x:v>19235485</x:v>
      </x:c>
      <x:c r="E54" s="22" t="n">
        <x:f>SUMIFS('Cash'!$C$5:$C$97,'Cash'!$A$5:$A$97,"&lt;="&amp;A54,'Cash'!$B$5:$B$97,"DIVIDEND_NET")</x:f>
        <x:v>0</x:v>
      </x:c>
      <x:c r="F54" s="30" t="str">
        <x:v>n.a.</x:v>
      </x:c>
      <x:c r="G54" s="30" t="str">
        <x:v>n.a.</x:v>
      </x:c>
      <x:c r="H54" s="30" t="str">
        <x:v>n.a.</x:v>
      </x:c>
      <x:c r="I54" s="30" t="str">
        <x:f>IF(COUNT(B54,F54:H54)=4,B54+F54+G54-H54,"n.a.")</x:f>
        <x:v>n.a.</x:v>
      </x:c>
      <x:c r="J54" s="30" t="str">
        <x:v>n.a.</x:v>
      </x:c>
      <x:c r="K54" s="17"/>
      <x:c r="L54" s="17"/>
      <x:c r="M54" s="17"/>
      <x:c r="N54" s="17"/>
    </x:row>
    <x:row r="55" ht="21" customHeight="1">
      <x:c r="A55" s="27" t="d">
        <x:v>2025-08-19T00:00:00.000Z</x:v>
      </x:c>
      <x:c r="B55" s="22" t="n">
        <x:f>SUMIFS('Cash'!$C$5:$C$97,'Cash'!$A$5:$A$97,"&lt;="&amp;A55)</x:f>
        <x:v>39</x:v>
      </x:c>
      <x:c r="C55" s="22" t="n">
        <x:f>SUMIFS('Cash'!$C$5:$C$97,'Cash'!$A$5:$A$97,A55)</x:f>
        <x:v>0</x:v>
      </x:c>
      <x:c r="D55" s="22" t="n">
        <x:f>SUMIFS('Cash'!$C$5:$C$97,'Cash'!$A$5:$A$97,"&lt;="&amp;A55,'Cash'!$B$5:$B$97,"EXTERNAL_FUNDING")</x:f>
        <x:v>19235485</x:v>
      </x:c>
      <x:c r="E55" s="22" t="n">
        <x:f>SUMIFS('Cash'!$C$5:$C$97,'Cash'!$A$5:$A$97,"&lt;="&amp;A55,'Cash'!$B$5:$B$97,"DIVIDEND_NET")</x:f>
        <x:v>0</x:v>
      </x:c>
      <x:c r="F55" s="30" t="str">
        <x:v>n.a.</x:v>
      </x:c>
      <x:c r="G55" s="30" t="str">
        <x:v>n.a.</x:v>
      </x:c>
      <x:c r="H55" s="30" t="str">
        <x:v>n.a.</x:v>
      </x:c>
      <x:c r="I55" s="30" t="str">
        <x:f>IF(COUNT(B55,F55:H55)=4,B55+F55+G55-H55,"n.a.")</x:f>
        <x:v>n.a.</x:v>
      </x:c>
      <x:c r="J55" s="30" t="str">
        <x:v>n.a.</x:v>
      </x:c>
      <x:c r="K55" s="17"/>
      <x:c r="L55" s="17"/>
      <x:c r="M55" s="17"/>
      <x:c r="N55" s="17"/>
    </x:row>
    <x:row r="56" ht="21" customHeight="1">
      <x:c r="A56" s="27" t="d">
        <x:v>2025-08-20T00:00:00.000Z</x:v>
      </x:c>
      <x:c r="B56" s="22" t="n">
        <x:f>SUMIFS('Cash'!$C$5:$C$97,'Cash'!$A$5:$A$97,"&lt;="&amp;A56)</x:f>
        <x:v>39</x:v>
      </x:c>
      <x:c r="C56" s="22" t="n">
        <x:f>SUMIFS('Cash'!$C$5:$C$97,'Cash'!$A$5:$A$97,A56)</x:f>
        <x:v>0</x:v>
      </x:c>
      <x:c r="D56" s="22" t="n">
        <x:f>SUMIFS('Cash'!$C$5:$C$97,'Cash'!$A$5:$A$97,"&lt;="&amp;A56,'Cash'!$B$5:$B$97,"EXTERNAL_FUNDING")</x:f>
        <x:v>19235485</x:v>
      </x:c>
      <x:c r="E56" s="22" t="n">
        <x:f>SUMIFS('Cash'!$C$5:$C$97,'Cash'!$A$5:$A$97,"&lt;="&amp;A56,'Cash'!$B$5:$B$97,"DIVIDEND_NET")</x:f>
        <x:v>0</x:v>
      </x:c>
      <x:c r="F56" s="30" t="str">
        <x:v>n.a.</x:v>
      </x:c>
      <x:c r="G56" s="30" t="str">
        <x:v>n.a.</x:v>
      </x:c>
      <x:c r="H56" s="30" t="str">
        <x:v>n.a.</x:v>
      </x:c>
      <x:c r="I56" s="30" t="str">
        <x:f>IF(COUNT(B56,F56:H56)=4,B56+F56+G56-H56,"n.a.")</x:f>
        <x:v>n.a.</x:v>
      </x:c>
      <x:c r="J56" s="30" t="str">
        <x:v>n.a.</x:v>
      </x:c>
      <x:c r="K56" s="17"/>
      <x:c r="L56" s="17"/>
      <x:c r="M56" s="17"/>
      <x:c r="N56" s="17"/>
    </x:row>
    <x:row r="57" ht="21" customHeight="1">
      <x:c r="A57" s="27" t="d">
        <x:v>2025-08-21T00:00:00.000Z</x:v>
      </x:c>
      <x:c r="B57" s="22" t="n">
        <x:f>SUMIFS('Cash'!$C$5:$C$97,'Cash'!$A$5:$A$97,"&lt;="&amp;A57)</x:f>
        <x:v>39</x:v>
      </x:c>
      <x:c r="C57" s="22" t="n">
        <x:f>SUMIFS('Cash'!$C$5:$C$97,'Cash'!$A$5:$A$97,A57)</x:f>
        <x:v>0</x:v>
      </x:c>
      <x:c r="D57" s="22" t="n">
        <x:f>SUMIFS('Cash'!$C$5:$C$97,'Cash'!$A$5:$A$97,"&lt;="&amp;A57,'Cash'!$B$5:$B$97,"EXTERNAL_FUNDING")</x:f>
        <x:v>19235485</x:v>
      </x:c>
      <x:c r="E57" s="22" t="n">
        <x:f>SUMIFS('Cash'!$C$5:$C$97,'Cash'!$A$5:$A$97,"&lt;="&amp;A57,'Cash'!$B$5:$B$97,"DIVIDEND_NET")</x:f>
        <x:v>0</x:v>
      </x:c>
      <x:c r="F57" s="30" t="str">
        <x:v>n.a.</x:v>
      </x:c>
      <x:c r="G57" s="30" t="str">
        <x:v>n.a.</x:v>
      </x:c>
      <x:c r="H57" s="30" t="str">
        <x:v>n.a.</x:v>
      </x:c>
      <x:c r="I57" s="30" t="str">
        <x:f>IF(COUNT(B57,F57:H57)=4,B57+F57+G57-H57,"n.a.")</x:f>
        <x:v>n.a.</x:v>
      </x:c>
      <x:c r="J57" s="30" t="str">
        <x:v>n.a.</x:v>
      </x:c>
      <x:c r="K57" s="17"/>
      <x:c r="L57" s="17"/>
      <x:c r="M57" s="17"/>
      <x:c r="N57" s="17"/>
    </x:row>
    <x:row r="58" ht="21" customHeight="1">
      <x:c r="A58" s="27" t="d">
        <x:v>2025-08-22T00:00:00.000Z</x:v>
      </x:c>
      <x:c r="B58" s="22" t="n">
        <x:f>SUMIFS('Cash'!$C$5:$C$97,'Cash'!$A$5:$A$97,"&lt;="&amp;A58)</x:f>
        <x:v>39</x:v>
      </x:c>
      <x:c r="C58" s="22" t="n">
        <x:f>SUMIFS('Cash'!$C$5:$C$97,'Cash'!$A$5:$A$97,A58)</x:f>
        <x:v>0</x:v>
      </x:c>
      <x:c r="D58" s="22" t="n">
        <x:f>SUMIFS('Cash'!$C$5:$C$97,'Cash'!$A$5:$A$97,"&lt;="&amp;A58,'Cash'!$B$5:$B$97,"EXTERNAL_FUNDING")</x:f>
        <x:v>19235485</x:v>
      </x:c>
      <x:c r="E58" s="22" t="n">
        <x:f>SUMIFS('Cash'!$C$5:$C$97,'Cash'!$A$5:$A$97,"&lt;="&amp;A58,'Cash'!$B$5:$B$97,"DIVIDEND_NET")</x:f>
        <x:v>0</x:v>
      </x:c>
      <x:c r="F58" s="30" t="str">
        <x:v>n.a.</x:v>
      </x:c>
      <x:c r="G58" s="30" t="str">
        <x:v>n.a.</x:v>
      </x:c>
      <x:c r="H58" s="30" t="str">
        <x:v>n.a.</x:v>
      </x:c>
      <x:c r="I58" s="30" t="str">
        <x:f>IF(COUNT(B58,F58:H58)=4,B58+F58+G58-H58,"n.a.")</x:f>
        <x:v>n.a.</x:v>
      </x:c>
      <x:c r="J58" s="30" t="str">
        <x:v>n.a.</x:v>
      </x:c>
      <x:c r="K58" s="17"/>
      <x:c r="L58" s="17"/>
      <x:c r="M58" s="17"/>
      <x:c r="N58" s="17"/>
    </x:row>
    <x:row r="59" ht="21" customHeight="1">
      <x:c r="A59" s="27" t="d">
        <x:v>2025-08-23T00:00:00.000Z</x:v>
      </x:c>
      <x:c r="B59" s="22" t="n">
        <x:f>SUMIFS('Cash'!$C$5:$C$97,'Cash'!$A$5:$A$97,"&lt;="&amp;A59)</x:f>
        <x:v>39</x:v>
      </x:c>
      <x:c r="C59" s="22" t="n">
        <x:f>SUMIFS('Cash'!$C$5:$C$97,'Cash'!$A$5:$A$97,A59)</x:f>
        <x:v>0</x:v>
      </x:c>
      <x:c r="D59" s="22" t="n">
        <x:f>SUMIFS('Cash'!$C$5:$C$97,'Cash'!$A$5:$A$97,"&lt;="&amp;A59,'Cash'!$B$5:$B$97,"EXTERNAL_FUNDING")</x:f>
        <x:v>19235485</x:v>
      </x:c>
      <x:c r="E59" s="22" t="n">
        <x:f>SUMIFS('Cash'!$C$5:$C$97,'Cash'!$A$5:$A$97,"&lt;="&amp;A59,'Cash'!$B$5:$B$97,"DIVIDEND_NET")</x:f>
        <x:v>0</x:v>
      </x:c>
      <x:c r="F59" s="30" t="str">
        <x:v>n.a.</x:v>
      </x:c>
      <x:c r="G59" s="30" t="str">
        <x:v>n.a.</x:v>
      </x:c>
      <x:c r="H59" s="30" t="str">
        <x:v>n.a.</x:v>
      </x:c>
      <x:c r="I59" s="30" t="str">
        <x:f>IF(COUNT(B59,F59:H59)=4,B59+F59+G59-H59,"n.a.")</x:f>
        <x:v>n.a.</x:v>
      </x:c>
      <x:c r="J59" s="30" t="str">
        <x:v>n.a.</x:v>
      </x:c>
      <x:c r="K59" s="17"/>
      <x:c r="L59" s="17"/>
      <x:c r="M59" s="17"/>
      <x:c r="N59" s="17"/>
    </x:row>
    <x:row r="60" ht="21" customHeight="1">
      <x:c r="A60" s="27" t="d">
        <x:v>2025-08-24T00:00:00.000Z</x:v>
      </x:c>
      <x:c r="B60" s="22" t="n">
        <x:f>SUMIFS('Cash'!$C$5:$C$97,'Cash'!$A$5:$A$97,"&lt;="&amp;A60)</x:f>
        <x:v>39</x:v>
      </x:c>
      <x:c r="C60" s="22" t="n">
        <x:f>SUMIFS('Cash'!$C$5:$C$97,'Cash'!$A$5:$A$97,A60)</x:f>
        <x:v>0</x:v>
      </x:c>
      <x:c r="D60" s="22" t="n">
        <x:f>SUMIFS('Cash'!$C$5:$C$97,'Cash'!$A$5:$A$97,"&lt;="&amp;A60,'Cash'!$B$5:$B$97,"EXTERNAL_FUNDING")</x:f>
        <x:v>19235485</x:v>
      </x:c>
      <x:c r="E60" s="22" t="n">
        <x:f>SUMIFS('Cash'!$C$5:$C$97,'Cash'!$A$5:$A$97,"&lt;="&amp;A60,'Cash'!$B$5:$B$97,"DIVIDEND_NET")</x:f>
        <x:v>0</x:v>
      </x:c>
      <x:c r="F60" s="30" t="str">
        <x:v>n.a.</x:v>
      </x:c>
      <x:c r="G60" s="30" t="str">
        <x:v>n.a.</x:v>
      </x:c>
      <x:c r="H60" s="30" t="str">
        <x:v>n.a.</x:v>
      </x:c>
      <x:c r="I60" s="30" t="str">
        <x:f>IF(COUNT(B60,F60:H60)=4,B60+F60+G60-H60,"n.a.")</x:f>
        <x:v>n.a.</x:v>
      </x:c>
      <x:c r="J60" s="30" t="str">
        <x:v>n.a.</x:v>
      </x:c>
      <x:c r="K60" s="17"/>
      <x:c r="L60" s="17"/>
      <x:c r="M60" s="17"/>
      <x:c r="N60" s="17"/>
    </x:row>
    <x:row r="61" ht="21" customHeight="1">
      <x:c r="A61" s="27" t="d">
        <x:v>2025-08-25T00:00:00.000Z</x:v>
      </x:c>
      <x:c r="B61" s="22" t="n">
        <x:f>SUMIFS('Cash'!$C$5:$C$97,'Cash'!$A$5:$A$97,"&lt;="&amp;A61)</x:f>
        <x:v>39</x:v>
      </x:c>
      <x:c r="C61" s="22" t="n">
        <x:f>SUMIFS('Cash'!$C$5:$C$97,'Cash'!$A$5:$A$97,A61)</x:f>
        <x:v>0</x:v>
      </x:c>
      <x:c r="D61" s="22" t="n">
        <x:f>SUMIFS('Cash'!$C$5:$C$97,'Cash'!$A$5:$A$97,"&lt;="&amp;A61,'Cash'!$B$5:$B$97,"EXTERNAL_FUNDING")</x:f>
        <x:v>19235485</x:v>
      </x:c>
      <x:c r="E61" s="22" t="n">
        <x:f>SUMIFS('Cash'!$C$5:$C$97,'Cash'!$A$5:$A$97,"&lt;="&amp;A61,'Cash'!$B$5:$B$97,"DIVIDEND_NET")</x:f>
        <x:v>0</x:v>
      </x:c>
      <x:c r="F61" s="30" t="str">
        <x:v>n.a.</x:v>
      </x:c>
      <x:c r="G61" s="30" t="str">
        <x:v>n.a.</x:v>
      </x:c>
      <x:c r="H61" s="30" t="str">
        <x:v>n.a.</x:v>
      </x:c>
      <x:c r="I61" s="30" t="str">
        <x:f>IF(COUNT(B61,F61:H61)=4,B61+F61+G61-H61,"n.a.")</x:f>
        <x:v>n.a.</x:v>
      </x:c>
      <x:c r="J61" s="30" t="str">
        <x:v>n.a.</x:v>
      </x:c>
      <x:c r="K61" s="17"/>
      <x:c r="L61" s="17"/>
      <x:c r="M61" s="17"/>
      <x:c r="N61" s="17"/>
    </x:row>
    <x:row r="62" ht="21" customHeight="1">
      <x:c r="A62" s="27" t="d">
        <x:v>2025-08-26T00:00:00.000Z</x:v>
      </x:c>
      <x:c r="B62" s="22" t="n">
        <x:f>SUMIFS('Cash'!$C$5:$C$97,'Cash'!$A$5:$A$97,"&lt;="&amp;A62)</x:f>
        <x:v>39</x:v>
      </x:c>
      <x:c r="C62" s="22" t="n">
        <x:f>SUMIFS('Cash'!$C$5:$C$97,'Cash'!$A$5:$A$97,A62)</x:f>
        <x:v>0</x:v>
      </x:c>
      <x:c r="D62" s="22" t="n">
        <x:f>SUMIFS('Cash'!$C$5:$C$97,'Cash'!$A$5:$A$97,"&lt;="&amp;A62,'Cash'!$B$5:$B$97,"EXTERNAL_FUNDING")</x:f>
        <x:v>19235485</x:v>
      </x:c>
      <x:c r="E62" s="22" t="n">
        <x:f>SUMIFS('Cash'!$C$5:$C$97,'Cash'!$A$5:$A$97,"&lt;="&amp;A62,'Cash'!$B$5:$B$97,"DIVIDEND_NET")</x:f>
        <x:v>0</x:v>
      </x:c>
      <x:c r="F62" s="30" t="str">
        <x:v>n.a.</x:v>
      </x:c>
      <x:c r="G62" s="30" t="str">
        <x:v>n.a.</x:v>
      </x:c>
      <x:c r="H62" s="30" t="str">
        <x:v>n.a.</x:v>
      </x:c>
      <x:c r="I62" s="30" t="str">
        <x:f>IF(COUNT(B62,F62:H62)=4,B62+F62+G62-H62,"n.a.")</x:f>
        <x:v>n.a.</x:v>
      </x:c>
      <x:c r="J62" s="30" t="str">
        <x:v>n.a.</x:v>
      </x:c>
      <x:c r="K62" s="17"/>
      <x:c r="L62" s="17"/>
      <x:c r="M62" s="17"/>
      <x:c r="N62" s="17"/>
    </x:row>
    <x:row r="63" ht="21" customHeight="1">
      <x:c r="A63" s="27" t="d">
        <x:v>2025-08-27T00:00:00.000Z</x:v>
      </x:c>
      <x:c r="B63" s="22" t="n">
        <x:f>SUMIFS('Cash'!$C$5:$C$97,'Cash'!$A$5:$A$97,"&lt;="&amp;A63)</x:f>
        <x:v>39</x:v>
      </x:c>
      <x:c r="C63" s="22" t="n">
        <x:f>SUMIFS('Cash'!$C$5:$C$97,'Cash'!$A$5:$A$97,A63)</x:f>
        <x:v>0</x:v>
      </x:c>
      <x:c r="D63" s="22" t="n">
        <x:f>SUMIFS('Cash'!$C$5:$C$97,'Cash'!$A$5:$A$97,"&lt;="&amp;A63,'Cash'!$B$5:$B$97,"EXTERNAL_FUNDING")</x:f>
        <x:v>19235485</x:v>
      </x:c>
      <x:c r="E63" s="22" t="n">
        <x:f>SUMIFS('Cash'!$C$5:$C$97,'Cash'!$A$5:$A$97,"&lt;="&amp;A63,'Cash'!$B$5:$B$97,"DIVIDEND_NET")</x:f>
        <x:v>0</x:v>
      </x:c>
      <x:c r="F63" s="30" t="str">
        <x:v>n.a.</x:v>
      </x:c>
      <x:c r="G63" s="30" t="str">
        <x:v>n.a.</x:v>
      </x:c>
      <x:c r="H63" s="30" t="str">
        <x:v>n.a.</x:v>
      </x:c>
      <x:c r="I63" s="30" t="str">
        <x:f>IF(COUNT(B63,F63:H63)=4,B63+F63+G63-H63,"n.a.")</x:f>
        <x:v>n.a.</x:v>
      </x:c>
      <x:c r="J63" s="30" t="str">
        <x:v>n.a.</x:v>
      </x:c>
      <x:c r="K63" s="17"/>
      <x:c r="L63" s="17"/>
      <x:c r="M63" s="17"/>
      <x:c r="N63" s="17"/>
    </x:row>
    <x:row r="64" ht="21" customHeight="1">
      <x:c r="A64" s="27" t="d">
        <x:v>2025-08-28T00:00:00.000Z</x:v>
      </x:c>
      <x:c r="B64" s="22" t="n">
        <x:f>SUMIFS('Cash'!$C$5:$C$97,'Cash'!$A$5:$A$97,"&lt;="&amp;A64)</x:f>
        <x:v>39</x:v>
      </x:c>
      <x:c r="C64" s="22" t="n">
        <x:f>SUMIFS('Cash'!$C$5:$C$97,'Cash'!$A$5:$A$97,A64)</x:f>
        <x:v>0</x:v>
      </x:c>
      <x:c r="D64" s="22" t="n">
        <x:f>SUMIFS('Cash'!$C$5:$C$97,'Cash'!$A$5:$A$97,"&lt;="&amp;A64,'Cash'!$B$5:$B$97,"EXTERNAL_FUNDING")</x:f>
        <x:v>19235485</x:v>
      </x:c>
      <x:c r="E64" s="22" t="n">
        <x:f>SUMIFS('Cash'!$C$5:$C$97,'Cash'!$A$5:$A$97,"&lt;="&amp;A64,'Cash'!$B$5:$B$97,"DIVIDEND_NET")</x:f>
        <x:v>0</x:v>
      </x:c>
      <x:c r="F64" s="30" t="str">
        <x:v>n.a.</x:v>
      </x:c>
      <x:c r="G64" s="30" t="str">
        <x:v>n.a.</x:v>
      </x:c>
      <x:c r="H64" s="30" t="str">
        <x:v>n.a.</x:v>
      </x:c>
      <x:c r="I64" s="30" t="str">
        <x:f>IF(COUNT(B64,F64:H64)=4,B64+F64+G64-H64,"n.a.")</x:f>
        <x:v>n.a.</x:v>
      </x:c>
      <x:c r="J64" s="30" t="str">
        <x:v>n.a.</x:v>
      </x:c>
      <x:c r="K64" s="17"/>
      <x:c r="L64" s="17"/>
      <x:c r="M64" s="17"/>
      <x:c r="N64" s="17"/>
    </x:row>
    <x:row r="65" ht="21" customHeight="1">
      <x:c r="A65" s="27" t="d">
        <x:v>2025-08-29T00:00:00.000Z</x:v>
      </x:c>
      <x:c r="B65" s="22" t="n">
        <x:f>SUMIFS('Cash'!$C$5:$C$97,'Cash'!$A$5:$A$97,"&lt;="&amp;A65)</x:f>
        <x:v>0</x:v>
      </x:c>
      <x:c r="C65" s="22" t="n">
        <x:f>SUMIFS('Cash'!$C$5:$C$97,'Cash'!$A$5:$A$97,A65)</x:f>
        <x:v>-39</x:v>
      </x:c>
      <x:c r="D65" s="22" t="n">
        <x:f>SUMIFS('Cash'!$C$5:$C$97,'Cash'!$A$5:$A$97,"&lt;="&amp;A65,'Cash'!$B$5:$B$97,"EXTERNAL_FUNDING")</x:f>
        <x:v>19235485</x:v>
      </x:c>
      <x:c r="E65" s="22" t="n">
        <x:f>SUMIFS('Cash'!$C$5:$C$97,'Cash'!$A$5:$A$97,"&lt;="&amp;A65,'Cash'!$B$5:$B$97,"DIVIDEND_NET")</x:f>
        <x:v>0</x:v>
      </x:c>
      <x:c r="F65" s="30" t="str">
        <x:v>n.a.</x:v>
      </x:c>
      <x:c r="G65" s="30" t="str">
        <x:v>n.a.</x:v>
      </x:c>
      <x:c r="H65" s="30" t="str">
        <x:v>n.a.</x:v>
      </x:c>
      <x:c r="I65" s="30" t="str">
        <x:f>IF(COUNT(B65,F65:H65)=4,B65+F65+G65-H65,"n.a.")</x:f>
        <x:v>n.a.</x:v>
      </x:c>
      <x:c r="J65" s="30" t="str">
        <x:v>n.a.</x:v>
      </x:c>
      <x:c r="K65" s="17"/>
      <x:c r="L65" s="17"/>
      <x:c r="M65" s="17"/>
      <x:c r="N65" s="17"/>
    </x:row>
    <x:row r="66" ht="21" customHeight="1">
      <x:c r="A66" s="27" t="d">
        <x:v>2025-08-30T00:00:00.000Z</x:v>
      </x:c>
      <x:c r="B66" s="22" t="n">
        <x:f>SUMIFS('Cash'!$C$5:$C$97,'Cash'!$A$5:$A$97,"&lt;="&amp;A66)</x:f>
        <x:v>0</x:v>
      </x:c>
      <x:c r="C66" s="22" t="n">
        <x:f>SUMIFS('Cash'!$C$5:$C$97,'Cash'!$A$5:$A$97,A66)</x:f>
        <x:v>0</x:v>
      </x:c>
      <x:c r="D66" s="22" t="n">
        <x:f>SUMIFS('Cash'!$C$5:$C$97,'Cash'!$A$5:$A$97,"&lt;="&amp;A66,'Cash'!$B$5:$B$97,"EXTERNAL_FUNDING")</x:f>
        <x:v>19235485</x:v>
      </x:c>
      <x:c r="E66" s="22" t="n">
        <x:f>SUMIFS('Cash'!$C$5:$C$97,'Cash'!$A$5:$A$97,"&lt;="&amp;A66,'Cash'!$B$5:$B$97,"DIVIDEND_NET")</x:f>
        <x:v>0</x:v>
      </x:c>
      <x:c r="F66" s="30" t="str">
        <x:v>n.a.</x:v>
      </x:c>
      <x:c r="G66" s="30" t="str">
        <x:v>n.a.</x:v>
      </x:c>
      <x:c r="H66" s="30" t="str">
        <x:v>n.a.</x:v>
      </x:c>
      <x:c r="I66" s="30" t="str">
        <x:f>IF(COUNT(B66,F66:H66)=4,B66+F66+G66-H66,"n.a.")</x:f>
        <x:v>n.a.</x:v>
      </x:c>
      <x:c r="J66" s="30" t="str">
        <x:v>n.a.</x:v>
      </x:c>
      <x:c r="K66" s="17"/>
      <x:c r="L66" s="17"/>
      <x:c r="M66" s="17"/>
      <x:c r="N66" s="17"/>
    </x:row>
    <x:row r="67" ht="21" customHeight="1">
      <x:c r="A67" s="27" t="d">
        <x:v>2025-08-31T00:00:00.000Z</x:v>
      </x:c>
      <x:c r="B67" s="22" t="n">
        <x:f>SUMIFS('Cash'!$C$5:$C$97,'Cash'!$A$5:$A$97,"&lt;="&amp;A67)</x:f>
        <x:v>0</x:v>
      </x:c>
      <x:c r="C67" s="22" t="n">
        <x:f>SUMIFS('Cash'!$C$5:$C$97,'Cash'!$A$5:$A$97,A67)</x:f>
        <x:v>0</x:v>
      </x:c>
      <x:c r="D67" s="22" t="n">
        <x:f>SUMIFS('Cash'!$C$5:$C$97,'Cash'!$A$5:$A$97,"&lt;="&amp;A67,'Cash'!$B$5:$B$97,"EXTERNAL_FUNDING")</x:f>
        <x:v>19235485</x:v>
      </x:c>
      <x:c r="E67" s="22" t="n">
        <x:f>SUMIFS('Cash'!$C$5:$C$97,'Cash'!$A$5:$A$97,"&lt;="&amp;A67,'Cash'!$B$5:$B$97,"DIVIDEND_NET")</x:f>
        <x:v>0</x:v>
      </x:c>
      <x:c r="F67" s="30" t="str">
        <x:v>n.a.</x:v>
      </x:c>
      <x:c r="G67" s="30" t="str">
        <x:v>n.a.</x:v>
      </x:c>
      <x:c r="H67" s="30" t="str">
        <x:v>n.a.</x:v>
      </x:c>
      <x:c r="I67" s="30" t="str">
        <x:f>IF(COUNT(B67,F67:H67)=4,B67+F67+G67-H67,"n.a.")</x:f>
        <x:v>n.a.</x:v>
      </x:c>
      <x:c r="J67" s="30" t="str">
        <x:v>n.a.</x:v>
      </x:c>
      <x:c r="K67" s="17"/>
      <x:c r="L67" s="17"/>
      <x:c r="M67" s="17"/>
      <x:c r="N67" s="17"/>
    </x:row>
    <x:row r="68" ht="21" customHeight="1">
      <x:c r="A68" s="27" t="d">
        <x:v>2025-09-01T00:00:00.000Z</x:v>
      </x:c>
      <x:c r="B68" s="22" t="n">
        <x:f>SUMIFS('Cash'!$C$5:$C$97,'Cash'!$A$5:$A$97,"&lt;="&amp;A68)</x:f>
        <x:v>0</x:v>
      </x:c>
      <x:c r="C68" s="22" t="n">
        <x:f>SUMIFS('Cash'!$C$5:$C$97,'Cash'!$A$5:$A$97,A68)</x:f>
        <x:v>0</x:v>
      </x:c>
      <x:c r="D68" s="22" t="n">
        <x:f>SUMIFS('Cash'!$C$5:$C$97,'Cash'!$A$5:$A$97,"&lt;="&amp;A68,'Cash'!$B$5:$B$97,"EXTERNAL_FUNDING")</x:f>
        <x:v>19235485</x:v>
      </x:c>
      <x:c r="E68" s="22" t="n">
        <x:f>SUMIFS('Cash'!$C$5:$C$97,'Cash'!$A$5:$A$97,"&lt;="&amp;A68,'Cash'!$B$5:$B$97,"DIVIDEND_NET")</x:f>
        <x:v>0</x:v>
      </x:c>
      <x:c r="F68" s="30" t="str">
        <x:v>n.a.</x:v>
      </x:c>
      <x:c r="G68" s="30" t="str">
        <x:v>n.a.</x:v>
      </x:c>
      <x:c r="H68" s="30" t="str">
        <x:v>n.a.</x:v>
      </x:c>
      <x:c r="I68" s="30" t="str">
        <x:f>IF(COUNT(B68,F68:H68)=4,B68+F68+G68-H68,"n.a.")</x:f>
        <x:v>n.a.</x:v>
      </x:c>
      <x:c r="J68" s="30" t="str">
        <x:v>n.a.</x:v>
      </x:c>
      <x:c r="K68" s="17"/>
      <x:c r="L68" s="17"/>
      <x:c r="M68" s="17"/>
      <x:c r="N68" s="17"/>
    </x:row>
    <x:row r="69" ht="21" customHeight="1">
      <x:c r="A69" s="27" t="d">
        <x:v>2025-09-02T00:00:00.000Z</x:v>
      </x:c>
      <x:c r="B69" s="22" t="n">
        <x:f>SUMIFS('Cash'!$C$5:$C$97,'Cash'!$A$5:$A$97,"&lt;="&amp;A69)</x:f>
        <x:v>0</x:v>
      </x:c>
      <x:c r="C69" s="22" t="n">
        <x:f>SUMIFS('Cash'!$C$5:$C$97,'Cash'!$A$5:$A$97,A69)</x:f>
        <x:v>0</x:v>
      </x:c>
      <x:c r="D69" s="22" t="n">
        <x:f>SUMIFS('Cash'!$C$5:$C$97,'Cash'!$A$5:$A$97,"&lt;="&amp;A69,'Cash'!$B$5:$B$97,"EXTERNAL_FUNDING")</x:f>
        <x:v>19235485</x:v>
      </x:c>
      <x:c r="E69" s="22" t="n">
        <x:f>SUMIFS('Cash'!$C$5:$C$97,'Cash'!$A$5:$A$97,"&lt;="&amp;A69,'Cash'!$B$5:$B$97,"DIVIDEND_NET")</x:f>
        <x:v>0</x:v>
      </x:c>
      <x:c r="F69" s="30" t="str">
        <x:v>n.a.</x:v>
      </x:c>
      <x:c r="G69" s="30" t="str">
        <x:v>n.a.</x:v>
      </x:c>
      <x:c r="H69" s="30" t="str">
        <x:v>n.a.</x:v>
      </x:c>
      <x:c r="I69" s="30" t="str">
        <x:f>IF(COUNT(B69,F69:H69)=4,B69+F69+G69-H69,"n.a.")</x:f>
        <x:v>n.a.</x:v>
      </x:c>
      <x:c r="J69" s="30" t="str">
        <x:v>n.a.</x:v>
      </x:c>
      <x:c r="K69" s="17"/>
      <x:c r="L69" s="17"/>
      <x:c r="M69" s="17"/>
      <x:c r="N69" s="17"/>
    </x:row>
    <x:row r="70" ht="21" customHeight="1">
      <x:c r="A70" s="27" t="d">
        <x:v>2025-09-03T00:00:00.000Z</x:v>
      </x:c>
      <x:c r="B70" s="22" t="n">
        <x:f>SUMIFS('Cash'!$C$5:$C$97,'Cash'!$A$5:$A$97,"&lt;="&amp;A70)</x:f>
        <x:v>0</x:v>
      </x:c>
      <x:c r="C70" s="22" t="n">
        <x:f>SUMIFS('Cash'!$C$5:$C$97,'Cash'!$A$5:$A$97,A70)</x:f>
        <x:v>0</x:v>
      </x:c>
      <x:c r="D70" s="22" t="n">
        <x:f>SUMIFS('Cash'!$C$5:$C$97,'Cash'!$A$5:$A$97,"&lt;="&amp;A70,'Cash'!$B$5:$B$97,"EXTERNAL_FUNDING")</x:f>
        <x:v>19235485</x:v>
      </x:c>
      <x:c r="E70" s="22" t="n">
        <x:f>SUMIFS('Cash'!$C$5:$C$97,'Cash'!$A$5:$A$97,"&lt;="&amp;A70,'Cash'!$B$5:$B$97,"DIVIDEND_NET")</x:f>
        <x:v>0</x:v>
      </x:c>
      <x:c r="F70" s="30" t="str">
        <x:v>n.a.</x:v>
      </x:c>
      <x:c r="G70" s="30" t="str">
        <x:v>n.a.</x:v>
      </x:c>
      <x:c r="H70" s="30" t="str">
        <x:v>n.a.</x:v>
      </x:c>
      <x:c r="I70" s="30" t="str">
        <x:f>IF(COUNT(B70,F70:H70)=4,B70+F70+G70-H70,"n.a.")</x:f>
        <x:v>n.a.</x:v>
      </x:c>
      <x:c r="J70" s="30" t="str">
        <x:v>n.a.</x:v>
      </x:c>
      <x:c r="K70" s="17"/>
      <x:c r="L70" s="17"/>
      <x:c r="M70" s="17"/>
      <x:c r="N70" s="17"/>
    </x:row>
    <x:row r="71" ht="21" customHeight="1">
      <x:c r="A71" s="27" t="d">
        <x:v>2025-09-04T00:00:00.000Z</x:v>
      </x:c>
      <x:c r="B71" s="22" t="n">
        <x:f>SUMIFS('Cash'!$C$5:$C$97,'Cash'!$A$5:$A$97,"&lt;="&amp;A71)</x:f>
        <x:v>0</x:v>
      </x:c>
      <x:c r="C71" s="22" t="n">
        <x:f>SUMIFS('Cash'!$C$5:$C$97,'Cash'!$A$5:$A$97,A71)</x:f>
        <x:v>0</x:v>
      </x:c>
      <x:c r="D71" s="22" t="n">
        <x:f>SUMIFS('Cash'!$C$5:$C$97,'Cash'!$A$5:$A$97,"&lt;="&amp;A71,'Cash'!$B$5:$B$97,"EXTERNAL_FUNDING")</x:f>
        <x:v>19235485</x:v>
      </x:c>
      <x:c r="E71" s="22" t="n">
        <x:f>SUMIFS('Cash'!$C$5:$C$97,'Cash'!$A$5:$A$97,"&lt;="&amp;A71,'Cash'!$B$5:$B$97,"DIVIDEND_NET")</x:f>
        <x:v>0</x:v>
      </x:c>
      <x:c r="F71" s="30" t="str">
        <x:v>n.a.</x:v>
      </x:c>
      <x:c r="G71" s="30" t="str">
        <x:v>n.a.</x:v>
      </x:c>
      <x:c r="H71" s="30" t="str">
        <x:v>n.a.</x:v>
      </x:c>
      <x:c r="I71" s="30" t="str">
        <x:f>IF(COUNT(B71,F71:H71)=4,B71+F71+G71-H71,"n.a.")</x:f>
        <x:v>n.a.</x:v>
      </x:c>
      <x:c r="J71" s="30" t="str">
        <x:v>n.a.</x:v>
      </x:c>
      <x:c r="K71" s="17"/>
      <x:c r="L71" s="17"/>
      <x:c r="M71" s="17"/>
      <x:c r="N71" s="17"/>
    </x:row>
    <x:row r="72" ht="21" customHeight="1">
      <x:c r="A72" s="27" t="d">
        <x:v>2025-09-05T00:00:00.000Z</x:v>
      </x:c>
      <x:c r="B72" s="22" t="n">
        <x:f>SUMIFS('Cash'!$C$5:$C$97,'Cash'!$A$5:$A$97,"&lt;="&amp;A72)</x:f>
        <x:v>0</x:v>
      </x:c>
      <x:c r="C72" s="22" t="n">
        <x:f>SUMIFS('Cash'!$C$5:$C$97,'Cash'!$A$5:$A$97,A72)</x:f>
        <x:v>0</x:v>
      </x:c>
      <x:c r="D72" s="22" t="n">
        <x:f>SUMIFS('Cash'!$C$5:$C$97,'Cash'!$A$5:$A$97,"&lt;="&amp;A72,'Cash'!$B$5:$B$97,"EXTERNAL_FUNDING")</x:f>
        <x:v>19235485</x:v>
      </x:c>
      <x:c r="E72" s="22" t="n">
        <x:f>SUMIFS('Cash'!$C$5:$C$97,'Cash'!$A$5:$A$97,"&lt;="&amp;A72,'Cash'!$B$5:$B$97,"DIVIDEND_NET")</x:f>
        <x:v>0</x:v>
      </x:c>
      <x:c r="F72" s="30" t="str">
        <x:v>n.a.</x:v>
      </x:c>
      <x:c r="G72" s="30" t="str">
        <x:v>n.a.</x:v>
      </x:c>
      <x:c r="H72" s="30" t="str">
        <x:v>n.a.</x:v>
      </x:c>
      <x:c r="I72" s="30" t="str">
        <x:f>IF(COUNT(B72,F72:H72)=4,B72+F72+G72-H72,"n.a.")</x:f>
        <x:v>n.a.</x:v>
      </x:c>
      <x:c r="J72" s="30" t="str">
        <x:v>n.a.</x:v>
      </x:c>
      <x:c r="K72" s="17"/>
      <x:c r="L72" s="17"/>
      <x:c r="M72" s="17"/>
      <x:c r="N72" s="17"/>
    </x:row>
    <x:row r="73" ht="21" customHeight="1">
      <x:c r="A73" s="27" t="d">
        <x:v>2025-09-06T00:00:00.000Z</x:v>
      </x:c>
      <x:c r="B73" s="22" t="n">
        <x:f>SUMIFS('Cash'!$C$5:$C$97,'Cash'!$A$5:$A$97,"&lt;="&amp;A73)</x:f>
        <x:v>0</x:v>
      </x:c>
      <x:c r="C73" s="22" t="n">
        <x:f>SUMIFS('Cash'!$C$5:$C$97,'Cash'!$A$5:$A$97,A73)</x:f>
        <x:v>0</x:v>
      </x:c>
      <x:c r="D73" s="22" t="n">
        <x:f>SUMIFS('Cash'!$C$5:$C$97,'Cash'!$A$5:$A$97,"&lt;="&amp;A73,'Cash'!$B$5:$B$97,"EXTERNAL_FUNDING")</x:f>
        <x:v>19235485</x:v>
      </x:c>
      <x:c r="E73" s="22" t="n">
        <x:f>SUMIFS('Cash'!$C$5:$C$97,'Cash'!$A$5:$A$97,"&lt;="&amp;A73,'Cash'!$B$5:$B$97,"DIVIDEND_NET")</x:f>
        <x:v>0</x:v>
      </x:c>
      <x:c r="F73" s="30" t="str">
        <x:v>n.a.</x:v>
      </x:c>
      <x:c r="G73" s="30" t="str">
        <x:v>n.a.</x:v>
      </x:c>
      <x:c r="H73" s="30" t="str">
        <x:v>n.a.</x:v>
      </x:c>
      <x:c r="I73" s="30" t="str">
        <x:f>IF(COUNT(B73,F73:H73)=4,B73+F73+G73-H73,"n.a.")</x:f>
        <x:v>n.a.</x:v>
      </x:c>
      <x:c r="J73" s="30" t="str">
        <x:v>n.a.</x:v>
      </x:c>
      <x:c r="K73" s="17"/>
      <x:c r="L73" s="17"/>
      <x:c r="M73" s="17"/>
      <x:c r="N73" s="17"/>
    </x:row>
    <x:row r="74" ht="21" customHeight="1">
      <x:c r="A74" s="27" t="d">
        <x:v>2025-09-07T00:00:00.000Z</x:v>
      </x:c>
      <x:c r="B74" s="22" t="n">
        <x:f>SUMIFS('Cash'!$C$5:$C$97,'Cash'!$A$5:$A$97,"&lt;="&amp;A74)</x:f>
        <x:v>0</x:v>
      </x:c>
      <x:c r="C74" s="22" t="n">
        <x:f>SUMIFS('Cash'!$C$5:$C$97,'Cash'!$A$5:$A$97,A74)</x:f>
        <x:v>0</x:v>
      </x:c>
      <x:c r="D74" s="22" t="n">
        <x:f>SUMIFS('Cash'!$C$5:$C$97,'Cash'!$A$5:$A$97,"&lt;="&amp;A74,'Cash'!$B$5:$B$97,"EXTERNAL_FUNDING")</x:f>
        <x:v>19235485</x:v>
      </x:c>
      <x:c r="E74" s="22" t="n">
        <x:f>SUMIFS('Cash'!$C$5:$C$97,'Cash'!$A$5:$A$97,"&lt;="&amp;A74,'Cash'!$B$5:$B$97,"DIVIDEND_NET")</x:f>
        <x:v>0</x:v>
      </x:c>
      <x:c r="F74" s="30" t="str">
        <x:v>n.a.</x:v>
      </x:c>
      <x:c r="G74" s="30" t="str">
        <x:v>n.a.</x:v>
      </x:c>
      <x:c r="H74" s="30" t="str">
        <x:v>n.a.</x:v>
      </x:c>
      <x:c r="I74" s="30" t="str">
        <x:f>IF(COUNT(B74,F74:H74)=4,B74+F74+G74-H74,"n.a.")</x:f>
        <x:v>n.a.</x:v>
      </x:c>
      <x:c r="J74" s="30" t="str">
        <x:v>n.a.</x:v>
      </x:c>
      <x:c r="K74" s="17"/>
      <x:c r="L74" s="17"/>
      <x:c r="M74" s="17"/>
      <x:c r="N74" s="17"/>
    </x:row>
    <x:row r="75" ht="21" customHeight="1">
      <x:c r="A75" s="27" t="d">
        <x:v>2025-09-08T00:00:00.000Z</x:v>
      </x:c>
      <x:c r="B75" s="22" t="n">
        <x:f>SUMIFS('Cash'!$C$5:$C$97,'Cash'!$A$5:$A$97,"&lt;="&amp;A75)</x:f>
        <x:v>0</x:v>
      </x:c>
      <x:c r="C75" s="22" t="n">
        <x:f>SUMIFS('Cash'!$C$5:$C$97,'Cash'!$A$5:$A$97,A75)</x:f>
        <x:v>0</x:v>
      </x:c>
      <x:c r="D75" s="22" t="n">
        <x:f>SUMIFS('Cash'!$C$5:$C$97,'Cash'!$A$5:$A$97,"&lt;="&amp;A75,'Cash'!$B$5:$B$97,"EXTERNAL_FUNDING")</x:f>
        <x:v>19235485</x:v>
      </x:c>
      <x:c r="E75" s="22" t="n">
        <x:f>SUMIFS('Cash'!$C$5:$C$97,'Cash'!$A$5:$A$97,"&lt;="&amp;A75,'Cash'!$B$5:$B$97,"DIVIDEND_NET")</x:f>
        <x:v>0</x:v>
      </x:c>
      <x:c r="F75" s="30" t="str">
        <x:v>n.a.</x:v>
      </x:c>
      <x:c r="G75" s="30" t="str">
        <x:v>n.a.</x:v>
      </x:c>
      <x:c r="H75" s="30" t="str">
        <x:v>n.a.</x:v>
      </x:c>
      <x:c r="I75" s="30" t="str">
        <x:f>IF(COUNT(B75,F75:H75)=4,B75+F75+G75-H75,"n.a.")</x:f>
        <x:v>n.a.</x:v>
      </x:c>
      <x:c r="J75" s="30" t="str">
        <x:v>n.a.</x:v>
      </x:c>
      <x:c r="K75" s="17"/>
      <x:c r="L75" s="17"/>
      <x:c r="M75" s="17"/>
      <x:c r="N75" s="17"/>
    </x:row>
    <x:row r="76" ht="21" customHeight="1">
      <x:c r="A76" s="27" t="d">
        <x:v>2025-09-09T00:00:00.000Z</x:v>
      </x:c>
      <x:c r="B76" s="22" t="n">
        <x:f>SUMIFS('Cash'!$C$5:$C$97,'Cash'!$A$5:$A$97,"&lt;="&amp;A76)</x:f>
        <x:v>0</x:v>
      </x:c>
      <x:c r="C76" s="22" t="n">
        <x:f>SUMIFS('Cash'!$C$5:$C$97,'Cash'!$A$5:$A$97,A76)</x:f>
        <x:v>0</x:v>
      </x:c>
      <x:c r="D76" s="22" t="n">
        <x:f>SUMIFS('Cash'!$C$5:$C$97,'Cash'!$A$5:$A$97,"&lt;="&amp;A76,'Cash'!$B$5:$B$97,"EXTERNAL_FUNDING")</x:f>
        <x:v>19235485</x:v>
      </x:c>
      <x:c r="E76" s="22" t="n">
        <x:f>SUMIFS('Cash'!$C$5:$C$97,'Cash'!$A$5:$A$97,"&lt;="&amp;A76,'Cash'!$B$5:$B$97,"DIVIDEND_NET")</x:f>
        <x:v>0</x:v>
      </x:c>
      <x:c r="F76" s="30" t="str">
        <x:v>n.a.</x:v>
      </x:c>
      <x:c r="G76" s="30" t="str">
        <x:v>n.a.</x:v>
      </x:c>
      <x:c r="H76" s="30" t="str">
        <x:v>n.a.</x:v>
      </x:c>
      <x:c r="I76" s="30" t="str">
        <x:f>IF(COUNT(B76,F76:H76)=4,B76+F76+G76-H76,"n.a.")</x:f>
        <x:v>n.a.</x:v>
      </x:c>
      <x:c r="J76" s="30" t="str">
        <x:v>n.a.</x:v>
      </x:c>
      <x:c r="K76" s="17"/>
      <x:c r="L76" s="17"/>
      <x:c r="M76" s="17"/>
      <x:c r="N76" s="17"/>
    </x:row>
    <x:row r="77" ht="21" customHeight="1">
      <x:c r="A77" s="27" t="d">
        <x:v>2025-09-10T00:00:00.000Z</x:v>
      </x:c>
      <x:c r="B77" s="22" t="n">
        <x:f>SUMIFS('Cash'!$C$5:$C$97,'Cash'!$A$5:$A$97,"&lt;="&amp;A77)</x:f>
        <x:v>0</x:v>
      </x:c>
      <x:c r="C77" s="22" t="n">
        <x:f>SUMIFS('Cash'!$C$5:$C$97,'Cash'!$A$5:$A$97,A77)</x:f>
        <x:v>0</x:v>
      </x:c>
      <x:c r="D77" s="22" t="n">
        <x:f>SUMIFS('Cash'!$C$5:$C$97,'Cash'!$A$5:$A$97,"&lt;="&amp;A77,'Cash'!$B$5:$B$97,"EXTERNAL_FUNDING")</x:f>
        <x:v>19235485</x:v>
      </x:c>
      <x:c r="E77" s="22" t="n">
        <x:f>SUMIFS('Cash'!$C$5:$C$97,'Cash'!$A$5:$A$97,"&lt;="&amp;A77,'Cash'!$B$5:$B$97,"DIVIDEND_NET")</x:f>
        <x:v>0</x:v>
      </x:c>
      <x:c r="F77" s="30" t="str">
        <x:v>n.a.</x:v>
      </x:c>
      <x:c r="G77" s="30" t="str">
        <x:v>n.a.</x:v>
      </x:c>
      <x:c r="H77" s="30" t="str">
        <x:v>n.a.</x:v>
      </x:c>
      <x:c r="I77" s="30" t="str">
        <x:f>IF(COUNT(B77,F77:H77)=4,B77+F77+G77-H77,"n.a.")</x:f>
        <x:v>n.a.</x:v>
      </x:c>
      <x:c r="J77" s="30" t="str">
        <x:v>n.a.</x:v>
      </x:c>
      <x:c r="K77" s="17"/>
      <x:c r="L77" s="17"/>
      <x:c r="M77" s="17"/>
      <x:c r="N77" s="17"/>
    </x:row>
    <x:row r="78" ht="21" customHeight="1">
      <x:c r="A78" s="27" t="d">
        <x:v>2025-09-11T00:00:00.000Z</x:v>
      </x:c>
      <x:c r="B78" s="22" t="n">
        <x:f>SUMIFS('Cash'!$C$5:$C$97,'Cash'!$A$5:$A$97,"&lt;="&amp;A78)</x:f>
        <x:v>0</x:v>
      </x:c>
      <x:c r="C78" s="22" t="n">
        <x:f>SUMIFS('Cash'!$C$5:$C$97,'Cash'!$A$5:$A$97,A78)</x:f>
        <x:v>0</x:v>
      </x:c>
      <x:c r="D78" s="22" t="n">
        <x:f>SUMIFS('Cash'!$C$5:$C$97,'Cash'!$A$5:$A$97,"&lt;="&amp;A78,'Cash'!$B$5:$B$97,"EXTERNAL_FUNDING")</x:f>
        <x:v>19235485</x:v>
      </x:c>
      <x:c r="E78" s="22" t="n">
        <x:f>SUMIFS('Cash'!$C$5:$C$97,'Cash'!$A$5:$A$97,"&lt;="&amp;A78,'Cash'!$B$5:$B$97,"DIVIDEND_NET")</x:f>
        <x:v>0</x:v>
      </x:c>
      <x:c r="F78" s="30" t="str">
        <x:v>n.a.</x:v>
      </x:c>
      <x:c r="G78" s="30" t="str">
        <x:v>n.a.</x:v>
      </x:c>
      <x:c r="H78" s="30" t="str">
        <x:v>n.a.</x:v>
      </x:c>
      <x:c r="I78" s="30" t="str">
        <x:f>IF(COUNT(B78,F78:H78)=4,B78+F78+G78-H78,"n.a.")</x:f>
        <x:v>n.a.</x:v>
      </x:c>
      <x:c r="J78" s="30" t="str">
        <x:v>n.a.</x:v>
      </x:c>
      <x:c r="K78" s="17"/>
      <x:c r="L78" s="17"/>
      <x:c r="M78" s="17"/>
      <x:c r="N78" s="17"/>
    </x:row>
    <x:row r="79" ht="21" customHeight="1">
      <x:c r="A79" s="27" t="d">
        <x:v>2025-09-12T00:00:00.000Z</x:v>
      </x:c>
      <x:c r="B79" s="22" t="n">
        <x:f>SUMIFS('Cash'!$C$5:$C$97,'Cash'!$A$5:$A$97,"&lt;="&amp;A79)</x:f>
        <x:v>0</x:v>
      </x:c>
      <x:c r="C79" s="22" t="n">
        <x:f>SUMIFS('Cash'!$C$5:$C$97,'Cash'!$A$5:$A$97,A79)</x:f>
        <x:v>0</x:v>
      </x:c>
      <x:c r="D79" s="22" t="n">
        <x:f>SUMIFS('Cash'!$C$5:$C$97,'Cash'!$A$5:$A$97,"&lt;="&amp;A79,'Cash'!$B$5:$B$97,"EXTERNAL_FUNDING")</x:f>
        <x:v>19235485</x:v>
      </x:c>
      <x:c r="E79" s="22" t="n">
        <x:f>SUMIFS('Cash'!$C$5:$C$97,'Cash'!$A$5:$A$97,"&lt;="&amp;A79,'Cash'!$B$5:$B$97,"DIVIDEND_NET")</x:f>
        <x:v>0</x:v>
      </x:c>
      <x:c r="F79" s="30" t="str">
        <x:v>n.a.</x:v>
      </x:c>
      <x:c r="G79" s="30" t="str">
        <x:v>n.a.</x:v>
      </x:c>
      <x:c r="H79" s="30" t="str">
        <x:v>n.a.</x:v>
      </x:c>
      <x:c r="I79" s="30" t="str">
        <x:f>IF(COUNT(B79,F79:H79)=4,B79+F79+G79-H79,"n.a.")</x:f>
        <x:v>n.a.</x:v>
      </x:c>
      <x:c r="J79" s="30" t="str">
        <x:v>n.a.</x:v>
      </x:c>
      <x:c r="K79" s="17"/>
      <x:c r="L79" s="17"/>
      <x:c r="M79" s="17"/>
      <x:c r="N79" s="17"/>
    </x:row>
    <x:row r="80" ht="21" customHeight="1">
      <x:c r="A80" s="27" t="d">
        <x:v>2025-09-13T00:00:00.000Z</x:v>
      </x:c>
      <x:c r="B80" s="22" t="n">
        <x:f>SUMIFS('Cash'!$C$5:$C$97,'Cash'!$A$5:$A$97,"&lt;="&amp;A80)</x:f>
        <x:v>0</x:v>
      </x:c>
      <x:c r="C80" s="22" t="n">
        <x:f>SUMIFS('Cash'!$C$5:$C$97,'Cash'!$A$5:$A$97,A80)</x:f>
        <x:v>0</x:v>
      </x:c>
      <x:c r="D80" s="22" t="n">
        <x:f>SUMIFS('Cash'!$C$5:$C$97,'Cash'!$A$5:$A$97,"&lt;="&amp;A80,'Cash'!$B$5:$B$97,"EXTERNAL_FUNDING")</x:f>
        <x:v>19235485</x:v>
      </x:c>
      <x:c r="E80" s="22" t="n">
        <x:f>SUMIFS('Cash'!$C$5:$C$97,'Cash'!$A$5:$A$97,"&lt;="&amp;A80,'Cash'!$B$5:$B$97,"DIVIDEND_NET")</x:f>
        <x:v>0</x:v>
      </x:c>
      <x:c r="F80" s="30" t="str">
        <x:v>n.a.</x:v>
      </x:c>
      <x:c r="G80" s="30" t="str">
        <x:v>n.a.</x:v>
      </x:c>
      <x:c r="H80" s="30" t="str">
        <x:v>n.a.</x:v>
      </x:c>
      <x:c r="I80" s="30" t="str">
        <x:f>IF(COUNT(B80,F80:H80)=4,B80+F80+G80-H80,"n.a.")</x:f>
        <x:v>n.a.</x:v>
      </x:c>
      <x:c r="J80" s="30" t="str">
        <x:v>n.a.</x:v>
      </x:c>
      <x:c r="K80" s="17"/>
      <x:c r="L80" s="17"/>
      <x:c r="M80" s="17"/>
      <x:c r="N80" s="17"/>
    </x:row>
    <x:row r="81" ht="21" customHeight="1">
      <x:c r="A81" s="27" t="d">
        <x:v>2025-09-14T00:00:00.000Z</x:v>
      </x:c>
      <x:c r="B81" s="22" t="n">
        <x:f>SUMIFS('Cash'!$C$5:$C$97,'Cash'!$A$5:$A$97,"&lt;="&amp;A81)</x:f>
        <x:v>0</x:v>
      </x:c>
      <x:c r="C81" s="22" t="n">
        <x:f>SUMIFS('Cash'!$C$5:$C$97,'Cash'!$A$5:$A$97,A81)</x:f>
        <x:v>0</x:v>
      </x:c>
      <x:c r="D81" s="22" t="n">
        <x:f>SUMIFS('Cash'!$C$5:$C$97,'Cash'!$A$5:$A$97,"&lt;="&amp;A81,'Cash'!$B$5:$B$97,"EXTERNAL_FUNDING")</x:f>
        <x:v>19235485</x:v>
      </x:c>
      <x:c r="E81" s="22" t="n">
        <x:f>SUMIFS('Cash'!$C$5:$C$97,'Cash'!$A$5:$A$97,"&lt;="&amp;A81,'Cash'!$B$5:$B$97,"DIVIDEND_NET")</x:f>
        <x:v>0</x:v>
      </x:c>
      <x:c r="F81" s="30" t="str">
        <x:v>n.a.</x:v>
      </x:c>
      <x:c r="G81" s="30" t="str">
        <x:v>n.a.</x:v>
      </x:c>
      <x:c r="H81" s="30" t="str">
        <x:v>n.a.</x:v>
      </x:c>
      <x:c r="I81" s="30" t="str">
        <x:f>IF(COUNT(B81,F81:H81)=4,B81+F81+G81-H81,"n.a.")</x:f>
        <x:v>n.a.</x:v>
      </x:c>
      <x:c r="J81" s="30" t="str">
        <x:v>n.a.</x:v>
      </x:c>
      <x:c r="K81" s="17"/>
      <x:c r="L81" s="17"/>
      <x:c r="M81" s="17"/>
      <x:c r="N81" s="17"/>
    </x:row>
    <x:row r="82" ht="21" customHeight="1">
      <x:c r="A82" s="27" t="d">
        <x:v>2025-09-15T00:00:00.000Z</x:v>
      </x:c>
      <x:c r="B82" s="22" t="n">
        <x:f>SUMIFS('Cash'!$C$5:$C$97,'Cash'!$A$5:$A$97,"&lt;="&amp;A82)</x:f>
        <x:v>0</x:v>
      </x:c>
      <x:c r="C82" s="22" t="n">
        <x:f>SUMIFS('Cash'!$C$5:$C$97,'Cash'!$A$5:$A$97,A82)</x:f>
        <x:v>0</x:v>
      </x:c>
      <x:c r="D82" s="22" t="n">
        <x:f>SUMIFS('Cash'!$C$5:$C$97,'Cash'!$A$5:$A$97,"&lt;="&amp;A82,'Cash'!$B$5:$B$97,"EXTERNAL_FUNDING")</x:f>
        <x:v>19235485</x:v>
      </x:c>
      <x:c r="E82" s="22" t="n">
        <x:f>SUMIFS('Cash'!$C$5:$C$97,'Cash'!$A$5:$A$97,"&lt;="&amp;A82,'Cash'!$B$5:$B$97,"DIVIDEND_NET")</x:f>
        <x:v>0</x:v>
      </x:c>
      <x:c r="F82" s="30" t="str">
        <x:v>n.a.</x:v>
      </x:c>
      <x:c r="G82" s="30" t="str">
        <x:v>n.a.</x:v>
      </x:c>
      <x:c r="H82" s="30" t="str">
        <x:v>n.a.</x:v>
      </x:c>
      <x:c r="I82" s="30" t="str">
        <x:f>IF(COUNT(B82,F82:H82)=4,B82+F82+G82-H82,"n.a.")</x:f>
        <x:v>n.a.</x:v>
      </x:c>
      <x:c r="J82" s="30" t="str">
        <x:v>n.a.</x:v>
      </x:c>
      <x:c r="K82" s="17"/>
      <x:c r="L82" s="17"/>
      <x:c r="M82" s="17"/>
      <x:c r="N82" s="17"/>
    </x:row>
    <x:row r="83" ht="21" customHeight="1">
      <x:c r="A83" s="27" t="d">
        <x:v>2025-09-16T00:00:00.000Z</x:v>
      </x:c>
      <x:c r="B83" s="22" t="n">
        <x:f>SUMIFS('Cash'!$C$5:$C$97,'Cash'!$A$5:$A$97,"&lt;="&amp;A83)</x:f>
        <x:v>0</x:v>
      </x:c>
      <x:c r="C83" s="22" t="n">
        <x:f>SUMIFS('Cash'!$C$5:$C$97,'Cash'!$A$5:$A$97,A83)</x:f>
        <x:v>0</x:v>
      </x:c>
      <x:c r="D83" s="22" t="n">
        <x:f>SUMIFS('Cash'!$C$5:$C$97,'Cash'!$A$5:$A$97,"&lt;="&amp;A83,'Cash'!$B$5:$B$97,"EXTERNAL_FUNDING")</x:f>
        <x:v>19235485</x:v>
      </x:c>
      <x:c r="E83" s="22" t="n">
        <x:f>SUMIFS('Cash'!$C$5:$C$97,'Cash'!$A$5:$A$97,"&lt;="&amp;A83,'Cash'!$B$5:$B$97,"DIVIDEND_NET")</x:f>
        <x:v>0</x:v>
      </x:c>
      <x:c r="F83" s="30" t="str">
        <x:v>n.a.</x:v>
      </x:c>
      <x:c r="G83" s="30" t="str">
        <x:v>n.a.</x:v>
      </x:c>
      <x:c r="H83" s="30" t="str">
        <x:v>n.a.</x:v>
      </x:c>
      <x:c r="I83" s="30" t="str">
        <x:f>IF(COUNT(B83,F83:H83)=4,B83+F83+G83-H83,"n.a.")</x:f>
        <x:v>n.a.</x:v>
      </x:c>
      <x:c r="J83" s="30" t="str">
        <x:v>n.a.</x:v>
      </x:c>
      <x:c r="K83" s="17"/>
      <x:c r="L83" s="17"/>
      <x:c r="M83" s="17"/>
      <x:c r="N83" s="17"/>
    </x:row>
    <x:row r="84" ht="21" customHeight="1">
      <x:c r="A84" s="27" t="d">
        <x:v>2025-09-17T00:00:00.000Z</x:v>
      </x:c>
      <x:c r="B84" s="22" t="n">
        <x:f>SUMIFS('Cash'!$C$5:$C$97,'Cash'!$A$5:$A$97,"&lt;="&amp;A84)</x:f>
        <x:v>0</x:v>
      </x:c>
      <x:c r="C84" s="22" t="n">
        <x:f>SUMIFS('Cash'!$C$5:$C$97,'Cash'!$A$5:$A$97,A84)</x:f>
        <x:v>0</x:v>
      </x:c>
      <x:c r="D84" s="22" t="n">
        <x:f>SUMIFS('Cash'!$C$5:$C$97,'Cash'!$A$5:$A$97,"&lt;="&amp;A84,'Cash'!$B$5:$B$97,"EXTERNAL_FUNDING")</x:f>
        <x:v>19235485</x:v>
      </x:c>
      <x:c r="E84" s="22" t="n">
        <x:f>SUMIFS('Cash'!$C$5:$C$97,'Cash'!$A$5:$A$97,"&lt;="&amp;A84,'Cash'!$B$5:$B$97,"DIVIDEND_NET")</x:f>
        <x:v>0</x:v>
      </x:c>
      <x:c r="F84" s="30" t="str">
        <x:v>n.a.</x:v>
      </x:c>
      <x:c r="G84" s="30" t="str">
        <x:v>n.a.</x:v>
      </x:c>
      <x:c r="H84" s="30" t="str">
        <x:v>n.a.</x:v>
      </x:c>
      <x:c r="I84" s="30" t="str">
        <x:f>IF(COUNT(B84,F84:H84)=4,B84+F84+G84-H84,"n.a.")</x:f>
        <x:v>n.a.</x:v>
      </x:c>
      <x:c r="J84" s="30" t="str">
        <x:v>n.a.</x:v>
      </x:c>
      <x:c r="K84" s="17"/>
      <x:c r="L84" s="17"/>
      <x:c r="M84" s="17"/>
      <x:c r="N84" s="17"/>
    </x:row>
    <x:row r="85" ht="21" customHeight="1">
      <x:c r="A85" s="27" t="d">
        <x:v>2025-09-18T00:00:00.000Z</x:v>
      </x:c>
      <x:c r="B85" s="22" t="n">
        <x:f>SUMIFS('Cash'!$C$5:$C$97,'Cash'!$A$5:$A$97,"&lt;="&amp;A85)</x:f>
        <x:v>0</x:v>
      </x:c>
      <x:c r="C85" s="22" t="n">
        <x:f>SUMIFS('Cash'!$C$5:$C$97,'Cash'!$A$5:$A$97,A85)</x:f>
        <x:v>0</x:v>
      </x:c>
      <x:c r="D85" s="22" t="n">
        <x:f>SUMIFS('Cash'!$C$5:$C$97,'Cash'!$A$5:$A$97,"&lt;="&amp;A85,'Cash'!$B$5:$B$97,"EXTERNAL_FUNDING")</x:f>
        <x:v>19235485</x:v>
      </x:c>
      <x:c r="E85" s="22" t="n">
        <x:f>SUMIFS('Cash'!$C$5:$C$97,'Cash'!$A$5:$A$97,"&lt;="&amp;A85,'Cash'!$B$5:$B$97,"DIVIDEND_NET")</x:f>
        <x:v>0</x:v>
      </x:c>
      <x:c r="F85" s="30" t="str">
        <x:v>n.a.</x:v>
      </x:c>
      <x:c r="G85" s="30" t="str">
        <x:v>n.a.</x:v>
      </x:c>
      <x:c r="H85" s="30" t="str">
        <x:v>n.a.</x:v>
      </x:c>
      <x:c r="I85" s="30" t="str">
        <x:f>IF(COUNT(B85,F85:H85)=4,B85+F85+G85-H85,"n.a.")</x:f>
        <x:v>n.a.</x:v>
      </x:c>
      <x:c r="J85" s="30" t="str">
        <x:v>n.a.</x:v>
      </x:c>
      <x:c r="K85" s="17"/>
      <x:c r="L85" s="17"/>
      <x:c r="M85" s="17"/>
      <x:c r="N85" s="17"/>
    </x:row>
    <x:row r="86" ht="21" customHeight="1">
      <x:c r="A86" s="27" t="d">
        <x:v>2025-09-19T00:00:00.000Z</x:v>
      </x:c>
      <x:c r="B86" s="22" t="n">
        <x:f>SUMIFS('Cash'!$C$5:$C$97,'Cash'!$A$5:$A$97,"&lt;="&amp;A86)</x:f>
        <x:v>0</x:v>
      </x:c>
      <x:c r="C86" s="22" t="n">
        <x:f>SUMIFS('Cash'!$C$5:$C$97,'Cash'!$A$5:$A$97,A86)</x:f>
        <x:v>0</x:v>
      </x:c>
      <x:c r="D86" s="22" t="n">
        <x:f>SUMIFS('Cash'!$C$5:$C$97,'Cash'!$A$5:$A$97,"&lt;="&amp;A86,'Cash'!$B$5:$B$97,"EXTERNAL_FUNDING")</x:f>
        <x:v>19235485</x:v>
      </x:c>
      <x:c r="E86" s="22" t="n">
        <x:f>SUMIFS('Cash'!$C$5:$C$97,'Cash'!$A$5:$A$97,"&lt;="&amp;A86,'Cash'!$B$5:$B$97,"DIVIDEND_NET")</x:f>
        <x:v>0</x:v>
      </x:c>
      <x:c r="F86" s="30" t="str">
        <x:v>n.a.</x:v>
      </x:c>
      <x:c r="G86" s="30" t="str">
        <x:v>n.a.</x:v>
      </x:c>
      <x:c r="H86" s="30" t="str">
        <x:v>n.a.</x:v>
      </x:c>
      <x:c r="I86" s="30" t="str">
        <x:f>IF(COUNT(B86,F86:H86)=4,B86+F86+G86-H86,"n.a.")</x:f>
        <x:v>n.a.</x:v>
      </x:c>
      <x:c r="J86" s="30" t="str">
        <x:v>n.a.</x:v>
      </x:c>
      <x:c r="K86" s="17"/>
      <x:c r="L86" s="17"/>
      <x:c r="M86" s="17"/>
      <x:c r="N86" s="17"/>
    </x:row>
    <x:row r="87" ht="21" customHeight="1">
      <x:c r="A87" s="27" t="d">
        <x:v>2025-09-20T00:00:00.000Z</x:v>
      </x:c>
      <x:c r="B87" s="22" t="n">
        <x:f>SUMIFS('Cash'!$C$5:$C$97,'Cash'!$A$5:$A$97,"&lt;="&amp;A87)</x:f>
        <x:v>0</x:v>
      </x:c>
      <x:c r="C87" s="22" t="n">
        <x:f>SUMIFS('Cash'!$C$5:$C$97,'Cash'!$A$5:$A$97,A87)</x:f>
        <x:v>0</x:v>
      </x:c>
      <x:c r="D87" s="22" t="n">
        <x:f>SUMIFS('Cash'!$C$5:$C$97,'Cash'!$A$5:$A$97,"&lt;="&amp;A87,'Cash'!$B$5:$B$97,"EXTERNAL_FUNDING")</x:f>
        <x:v>19235485</x:v>
      </x:c>
      <x:c r="E87" s="22" t="n">
        <x:f>SUMIFS('Cash'!$C$5:$C$97,'Cash'!$A$5:$A$97,"&lt;="&amp;A87,'Cash'!$B$5:$B$97,"DIVIDEND_NET")</x:f>
        <x:v>0</x:v>
      </x:c>
      <x:c r="F87" s="30" t="str">
        <x:v>n.a.</x:v>
      </x:c>
      <x:c r="G87" s="30" t="str">
        <x:v>n.a.</x:v>
      </x:c>
      <x:c r="H87" s="30" t="str">
        <x:v>n.a.</x:v>
      </x:c>
      <x:c r="I87" s="30" t="str">
        <x:f>IF(COUNT(B87,F87:H87)=4,B87+F87+G87-H87,"n.a.")</x:f>
        <x:v>n.a.</x:v>
      </x:c>
      <x:c r="J87" s="30" t="str">
        <x:v>n.a.</x:v>
      </x:c>
      <x:c r="K87" s="17"/>
      <x:c r="L87" s="17"/>
      <x:c r="M87" s="17"/>
      <x:c r="N87" s="17"/>
    </x:row>
    <x:row r="88" ht="21" customHeight="1">
      <x:c r="A88" s="27" t="d">
        <x:v>2025-09-21T00:00:00.000Z</x:v>
      </x:c>
      <x:c r="B88" s="22" t="n">
        <x:f>SUMIFS('Cash'!$C$5:$C$97,'Cash'!$A$5:$A$97,"&lt;="&amp;A88)</x:f>
        <x:v>0</x:v>
      </x:c>
      <x:c r="C88" s="22" t="n">
        <x:f>SUMIFS('Cash'!$C$5:$C$97,'Cash'!$A$5:$A$97,A88)</x:f>
        <x:v>0</x:v>
      </x:c>
      <x:c r="D88" s="22" t="n">
        <x:f>SUMIFS('Cash'!$C$5:$C$97,'Cash'!$A$5:$A$97,"&lt;="&amp;A88,'Cash'!$B$5:$B$97,"EXTERNAL_FUNDING")</x:f>
        <x:v>19235485</x:v>
      </x:c>
      <x:c r="E88" s="22" t="n">
        <x:f>SUMIFS('Cash'!$C$5:$C$97,'Cash'!$A$5:$A$97,"&lt;="&amp;A88,'Cash'!$B$5:$B$97,"DIVIDEND_NET")</x:f>
        <x:v>0</x:v>
      </x:c>
      <x:c r="F88" s="30" t="str">
        <x:v>n.a.</x:v>
      </x:c>
      <x:c r="G88" s="30" t="str">
        <x:v>n.a.</x:v>
      </x:c>
      <x:c r="H88" s="30" t="str">
        <x:v>n.a.</x:v>
      </x:c>
      <x:c r="I88" s="30" t="str">
        <x:f>IF(COUNT(B88,F88:H88)=4,B88+F88+G88-H88,"n.a.")</x:f>
        <x:v>n.a.</x:v>
      </x:c>
      <x:c r="J88" s="30" t="str">
        <x:v>n.a.</x:v>
      </x:c>
      <x:c r="K88" s="17"/>
      <x:c r="L88" s="17"/>
      <x:c r="M88" s="17"/>
      <x:c r="N88" s="17"/>
    </x:row>
    <x:row r="89" ht="21" customHeight="1">
      <x:c r="A89" s="27" t="d">
        <x:v>2025-09-22T00:00:00.000Z</x:v>
      </x:c>
      <x:c r="B89" s="22" t="n">
        <x:f>SUMIFS('Cash'!$C$5:$C$97,'Cash'!$A$5:$A$97,"&lt;="&amp;A89)</x:f>
        <x:v>0</x:v>
      </x:c>
      <x:c r="C89" s="22" t="n">
        <x:f>SUMIFS('Cash'!$C$5:$C$97,'Cash'!$A$5:$A$97,A89)</x:f>
        <x:v>0</x:v>
      </x:c>
      <x:c r="D89" s="22" t="n">
        <x:f>SUMIFS('Cash'!$C$5:$C$97,'Cash'!$A$5:$A$97,"&lt;="&amp;A89,'Cash'!$B$5:$B$97,"EXTERNAL_FUNDING")</x:f>
        <x:v>19235485</x:v>
      </x:c>
      <x:c r="E89" s="22" t="n">
        <x:f>SUMIFS('Cash'!$C$5:$C$97,'Cash'!$A$5:$A$97,"&lt;="&amp;A89,'Cash'!$B$5:$B$97,"DIVIDEND_NET")</x:f>
        <x:v>0</x:v>
      </x:c>
      <x:c r="F89" s="30" t="str">
        <x:v>n.a.</x:v>
      </x:c>
      <x:c r="G89" s="30" t="str">
        <x:v>n.a.</x:v>
      </x:c>
      <x:c r="H89" s="30" t="str">
        <x:v>n.a.</x:v>
      </x:c>
      <x:c r="I89" s="30" t="str">
        <x:f>IF(COUNT(B89,F89:H89)=4,B89+F89+G89-H89,"n.a.")</x:f>
        <x:v>n.a.</x:v>
      </x:c>
      <x:c r="J89" s="30" t="str">
        <x:v>n.a.</x:v>
      </x:c>
      <x:c r="K89" s="17"/>
      <x:c r="L89" s="17"/>
      <x:c r="M89" s="17"/>
      <x:c r="N89" s="17"/>
    </x:row>
    <x:row r="90" ht="21" customHeight="1">
      <x:c r="A90" s="27" t="d">
        <x:v>2025-09-23T00:00:00.000Z</x:v>
      </x:c>
      <x:c r="B90" s="22" t="n">
        <x:f>SUMIFS('Cash'!$C$5:$C$97,'Cash'!$A$5:$A$97,"&lt;="&amp;A90)</x:f>
        <x:v>0</x:v>
      </x:c>
      <x:c r="C90" s="22" t="n">
        <x:f>SUMIFS('Cash'!$C$5:$C$97,'Cash'!$A$5:$A$97,A90)</x:f>
        <x:v>0</x:v>
      </x:c>
      <x:c r="D90" s="22" t="n">
        <x:f>SUMIFS('Cash'!$C$5:$C$97,'Cash'!$A$5:$A$97,"&lt;="&amp;A90,'Cash'!$B$5:$B$97,"EXTERNAL_FUNDING")</x:f>
        <x:v>19235485</x:v>
      </x:c>
      <x:c r="E90" s="22" t="n">
        <x:f>SUMIFS('Cash'!$C$5:$C$97,'Cash'!$A$5:$A$97,"&lt;="&amp;A90,'Cash'!$B$5:$B$97,"DIVIDEND_NET")</x:f>
        <x:v>0</x:v>
      </x:c>
      <x:c r="F90" s="30" t="str">
        <x:v>n.a.</x:v>
      </x:c>
      <x:c r="G90" s="30" t="str">
        <x:v>n.a.</x:v>
      </x:c>
      <x:c r="H90" s="30" t="str">
        <x:v>n.a.</x:v>
      </x:c>
      <x:c r="I90" s="30" t="str">
        <x:f>IF(COUNT(B90,F90:H90)=4,B90+F90+G90-H90,"n.a.")</x:f>
        <x:v>n.a.</x:v>
      </x:c>
      <x:c r="J90" s="30" t="str">
        <x:v>n.a.</x:v>
      </x:c>
      <x:c r="K90" s="17"/>
      <x:c r="L90" s="17"/>
      <x:c r="M90" s="17"/>
      <x:c r="N90" s="17"/>
    </x:row>
    <x:row r="91" ht="21" customHeight="1">
      <x:c r="A91" s="27" t="d">
        <x:v>2025-09-24T00:00:00.000Z</x:v>
      </x:c>
      <x:c r="B91" s="22" t="n">
        <x:f>SUMIFS('Cash'!$C$5:$C$97,'Cash'!$A$5:$A$97,"&lt;="&amp;A91)</x:f>
        <x:v>0</x:v>
      </x:c>
      <x:c r="C91" s="22" t="n">
        <x:f>SUMIFS('Cash'!$C$5:$C$97,'Cash'!$A$5:$A$97,A91)</x:f>
        <x:v>0</x:v>
      </x:c>
      <x:c r="D91" s="22" t="n">
        <x:f>SUMIFS('Cash'!$C$5:$C$97,'Cash'!$A$5:$A$97,"&lt;="&amp;A91,'Cash'!$B$5:$B$97,"EXTERNAL_FUNDING")</x:f>
        <x:v>19235485</x:v>
      </x:c>
      <x:c r="E91" s="22" t="n">
        <x:f>SUMIFS('Cash'!$C$5:$C$97,'Cash'!$A$5:$A$97,"&lt;="&amp;A91,'Cash'!$B$5:$B$97,"DIVIDEND_NET")</x:f>
        <x:v>0</x:v>
      </x:c>
      <x:c r="F91" s="30" t="str">
        <x:v>n.a.</x:v>
      </x:c>
      <x:c r="G91" s="30" t="str">
        <x:v>n.a.</x:v>
      </x:c>
      <x:c r="H91" s="30" t="str">
        <x:v>n.a.</x:v>
      </x:c>
      <x:c r="I91" s="30" t="str">
        <x:f>IF(COUNT(B91,F91:H91)=4,B91+F91+G91-H91,"n.a.")</x:f>
        <x:v>n.a.</x:v>
      </x:c>
      <x:c r="J91" s="30" t="str">
        <x:v>n.a.</x:v>
      </x:c>
      <x:c r="K91" s="17"/>
      <x:c r="L91" s="17"/>
      <x:c r="M91" s="17"/>
      <x:c r="N91" s="17"/>
    </x:row>
    <x:row r="92" ht="21" customHeight="1">
      <x:c r="A92" s="27" t="d">
        <x:v>2025-09-25T00:00:00.000Z</x:v>
      </x:c>
      <x:c r="B92" s="22" t="n">
        <x:f>SUMIFS('Cash'!$C$5:$C$97,'Cash'!$A$5:$A$97,"&lt;="&amp;A92)</x:f>
        <x:v>0</x:v>
      </x:c>
      <x:c r="C92" s="22" t="n">
        <x:f>SUMIFS('Cash'!$C$5:$C$97,'Cash'!$A$5:$A$97,A92)</x:f>
        <x:v>0</x:v>
      </x:c>
      <x:c r="D92" s="22" t="n">
        <x:f>SUMIFS('Cash'!$C$5:$C$97,'Cash'!$A$5:$A$97,"&lt;="&amp;A92,'Cash'!$B$5:$B$97,"EXTERNAL_FUNDING")</x:f>
        <x:v>19235485</x:v>
      </x:c>
      <x:c r="E92" s="22" t="n">
        <x:f>SUMIFS('Cash'!$C$5:$C$97,'Cash'!$A$5:$A$97,"&lt;="&amp;A92,'Cash'!$B$5:$B$97,"DIVIDEND_NET")</x:f>
        <x:v>0</x:v>
      </x:c>
      <x:c r="F92" s="30" t="str">
        <x:v>n.a.</x:v>
      </x:c>
      <x:c r="G92" s="30" t="str">
        <x:v>n.a.</x:v>
      </x:c>
      <x:c r="H92" s="30" t="str">
        <x:v>n.a.</x:v>
      </x:c>
      <x:c r="I92" s="30" t="str">
        <x:f>IF(COUNT(B92,F92:H92)=4,B92+F92+G92-H92,"n.a.")</x:f>
        <x:v>n.a.</x:v>
      </x:c>
      <x:c r="J92" s="30" t="str">
        <x:v>n.a.</x:v>
      </x:c>
      <x:c r="K92" s="17"/>
      <x:c r="L92" s="17"/>
      <x:c r="M92" s="17"/>
      <x:c r="N92" s="17"/>
    </x:row>
    <x:row r="93" ht="21" customHeight="1">
      <x:c r="A93" s="27" t="d">
        <x:v>2025-09-26T00:00:00.000Z</x:v>
      </x:c>
      <x:c r="B93" s="22" t="n">
        <x:f>SUMIFS('Cash'!$C$5:$C$97,'Cash'!$A$5:$A$97,"&lt;="&amp;A93)</x:f>
        <x:v>0</x:v>
      </x:c>
      <x:c r="C93" s="22" t="n">
        <x:f>SUMIFS('Cash'!$C$5:$C$97,'Cash'!$A$5:$A$97,A93)</x:f>
        <x:v>0</x:v>
      </x:c>
      <x:c r="D93" s="22" t="n">
        <x:f>SUMIFS('Cash'!$C$5:$C$97,'Cash'!$A$5:$A$97,"&lt;="&amp;A93,'Cash'!$B$5:$B$97,"EXTERNAL_FUNDING")</x:f>
        <x:v>19235485</x:v>
      </x:c>
      <x:c r="E93" s="22" t="n">
        <x:f>SUMIFS('Cash'!$C$5:$C$97,'Cash'!$A$5:$A$97,"&lt;="&amp;A93,'Cash'!$B$5:$B$97,"DIVIDEND_NET")</x:f>
        <x:v>0</x:v>
      </x:c>
      <x:c r="F93" s="30" t="str">
        <x:v>n.a.</x:v>
      </x:c>
      <x:c r="G93" s="30" t="str">
        <x:v>n.a.</x:v>
      </x:c>
      <x:c r="H93" s="30" t="str">
        <x:v>n.a.</x:v>
      </x:c>
      <x:c r="I93" s="30" t="str">
        <x:f>IF(COUNT(B93,F93:H93)=4,B93+F93+G93-H93,"n.a.")</x:f>
        <x:v>n.a.</x:v>
      </x:c>
      <x:c r="J93" s="30" t="str">
        <x:v>n.a.</x:v>
      </x:c>
      <x:c r="K93" s="17"/>
      <x:c r="L93" s="17"/>
      <x:c r="M93" s="17"/>
      <x:c r="N93" s="17"/>
    </x:row>
    <x:row r="94" ht="21" customHeight="1">
      <x:c r="A94" s="27" t="d">
        <x:v>2025-09-27T00:00:00.000Z</x:v>
      </x:c>
      <x:c r="B94" s="22" t="n">
        <x:f>SUMIFS('Cash'!$C$5:$C$97,'Cash'!$A$5:$A$97,"&lt;="&amp;A94)</x:f>
        <x:v>0</x:v>
      </x:c>
      <x:c r="C94" s="22" t="n">
        <x:f>SUMIFS('Cash'!$C$5:$C$97,'Cash'!$A$5:$A$97,A94)</x:f>
        <x:v>0</x:v>
      </x:c>
      <x:c r="D94" s="22" t="n">
        <x:f>SUMIFS('Cash'!$C$5:$C$97,'Cash'!$A$5:$A$97,"&lt;="&amp;A94,'Cash'!$B$5:$B$97,"EXTERNAL_FUNDING")</x:f>
        <x:v>19235485</x:v>
      </x:c>
      <x:c r="E94" s="22" t="n">
        <x:f>SUMIFS('Cash'!$C$5:$C$97,'Cash'!$A$5:$A$97,"&lt;="&amp;A94,'Cash'!$B$5:$B$97,"DIVIDEND_NET")</x:f>
        <x:v>0</x:v>
      </x:c>
      <x:c r="F94" s="30" t="str">
        <x:v>n.a.</x:v>
      </x:c>
      <x:c r="G94" s="30" t="str">
        <x:v>n.a.</x:v>
      </x:c>
      <x:c r="H94" s="30" t="str">
        <x:v>n.a.</x:v>
      </x:c>
      <x:c r="I94" s="30" t="str">
        <x:f>IF(COUNT(B94,F94:H94)=4,B94+F94+G94-H94,"n.a.")</x:f>
        <x:v>n.a.</x:v>
      </x:c>
      <x:c r="J94" s="30" t="str">
        <x:v>n.a.</x:v>
      </x:c>
      <x:c r="K94" s="17"/>
      <x:c r="L94" s="17"/>
      <x:c r="M94" s="17"/>
      <x:c r="N94" s="17"/>
    </x:row>
    <x:row r="95" ht="21" customHeight="1">
      <x:c r="A95" s="27" t="d">
        <x:v>2025-09-28T00:00:00.000Z</x:v>
      </x:c>
      <x:c r="B95" s="22" t="n">
        <x:f>SUMIFS('Cash'!$C$5:$C$97,'Cash'!$A$5:$A$97,"&lt;="&amp;A95)</x:f>
        <x:v>0</x:v>
      </x:c>
      <x:c r="C95" s="22" t="n">
        <x:f>SUMIFS('Cash'!$C$5:$C$97,'Cash'!$A$5:$A$97,A95)</x:f>
        <x:v>0</x:v>
      </x:c>
      <x:c r="D95" s="22" t="n">
        <x:f>SUMIFS('Cash'!$C$5:$C$97,'Cash'!$A$5:$A$97,"&lt;="&amp;A95,'Cash'!$B$5:$B$97,"EXTERNAL_FUNDING")</x:f>
        <x:v>19235485</x:v>
      </x:c>
      <x:c r="E95" s="22" t="n">
        <x:f>SUMIFS('Cash'!$C$5:$C$97,'Cash'!$A$5:$A$97,"&lt;="&amp;A95,'Cash'!$B$5:$B$97,"DIVIDEND_NET")</x:f>
        <x:v>0</x:v>
      </x:c>
      <x:c r="F95" s="30" t="str">
        <x:v>n.a.</x:v>
      </x:c>
      <x:c r="G95" s="30" t="str">
        <x:v>n.a.</x:v>
      </x:c>
      <x:c r="H95" s="30" t="str">
        <x:v>n.a.</x:v>
      </x:c>
      <x:c r="I95" s="30" t="str">
        <x:f>IF(COUNT(B95,F95:H95)=4,B95+F95+G95-H95,"n.a.")</x:f>
        <x:v>n.a.</x:v>
      </x:c>
      <x:c r="J95" s="30" t="str">
        <x:v>n.a.</x:v>
      </x:c>
      <x:c r="K95" s="17"/>
      <x:c r="L95" s="17"/>
      <x:c r="M95" s="17"/>
      <x:c r="N95" s="17"/>
    </x:row>
    <x:row r="96" ht="21" customHeight="1">
      <x:c r="A96" s="27" t="d">
        <x:v>2025-09-29T00:00:00.000Z</x:v>
      </x:c>
      <x:c r="B96" s="22" t="n">
        <x:f>SUMIFS('Cash'!$C$5:$C$97,'Cash'!$A$5:$A$97,"&lt;="&amp;A96)</x:f>
        <x:v>0</x:v>
      </x:c>
      <x:c r="C96" s="22" t="n">
        <x:f>SUMIFS('Cash'!$C$5:$C$97,'Cash'!$A$5:$A$97,A96)</x:f>
        <x:v>0</x:v>
      </x:c>
      <x:c r="D96" s="22" t="n">
        <x:f>SUMIFS('Cash'!$C$5:$C$97,'Cash'!$A$5:$A$97,"&lt;="&amp;A96,'Cash'!$B$5:$B$97,"EXTERNAL_FUNDING")</x:f>
        <x:v>19235485</x:v>
      </x:c>
      <x:c r="E96" s="22" t="n">
        <x:f>SUMIFS('Cash'!$C$5:$C$97,'Cash'!$A$5:$A$97,"&lt;="&amp;A96,'Cash'!$B$5:$B$97,"DIVIDEND_NET")</x:f>
        <x:v>0</x:v>
      </x:c>
      <x:c r="F96" s="30" t="str">
        <x:v>n.a.</x:v>
      </x:c>
      <x:c r="G96" s="30" t="str">
        <x:v>n.a.</x:v>
      </x:c>
      <x:c r="H96" s="30" t="str">
        <x:v>n.a.</x:v>
      </x:c>
      <x:c r="I96" s="30" t="str">
        <x:f>IF(COUNT(B96,F96:H96)=4,B96+F96+G96-H96,"n.a.")</x:f>
        <x:v>n.a.</x:v>
      </x:c>
      <x:c r="J96" s="30" t="str">
        <x:v>n.a.</x:v>
      </x:c>
      <x:c r="K96" s="17"/>
      <x:c r="L96" s="17"/>
      <x:c r="M96" s="17"/>
      <x:c r="N96" s="17"/>
    </x:row>
    <x:row r="97" ht="21" customHeight="1">
      <x:c r="A97" s="27" t="d">
        <x:v>2025-09-30T00:00:00.000Z</x:v>
      </x:c>
      <x:c r="B97" s="22" t="n">
        <x:f>SUMIFS('Cash'!$C$5:$C$97,'Cash'!$A$5:$A$97,"&lt;="&amp;A97)</x:f>
        <x:v>0</x:v>
      </x:c>
      <x:c r="C97" s="22" t="n">
        <x:f>SUMIFS('Cash'!$C$5:$C$97,'Cash'!$A$5:$A$97,A97)</x:f>
        <x:v>0</x:v>
      </x:c>
      <x:c r="D97" s="22" t="n">
        <x:f>SUMIFS('Cash'!$C$5:$C$97,'Cash'!$A$5:$A$97,"&lt;="&amp;A97,'Cash'!$B$5:$B$97,"EXTERNAL_FUNDING")</x:f>
        <x:v>19235485</x:v>
      </x:c>
      <x:c r="E97" s="22" t="n">
        <x:f>SUMIFS('Cash'!$C$5:$C$97,'Cash'!$A$5:$A$97,"&lt;="&amp;A97,'Cash'!$B$5:$B$97,"DIVIDEND_NET")</x:f>
        <x:v>0</x:v>
      </x:c>
      <x:c r="F97" s="30" t="str">
        <x:v>n.a.</x:v>
      </x:c>
      <x:c r="G97" s="30" t="str">
        <x:v>n.a.</x:v>
      </x:c>
      <x:c r="H97" s="30" t="str">
        <x:v>n.a.</x:v>
      </x:c>
      <x:c r="I97" s="30" t="str">
        <x:f>IF(COUNT(B97,F97:H97)=4,B97+F97+G97-H97,"n.a.")</x:f>
        <x:v>n.a.</x:v>
      </x:c>
      <x:c r="J97" s="30" t="str">
        <x:v>n.a.</x:v>
      </x:c>
      <x:c r="K97" s="17"/>
      <x:c r="L97" s="17"/>
      <x:c r="M97" s="17"/>
      <x:c r="N97" s="17"/>
    </x:row>
    <x:row r="98" ht="21" customHeight="1">
      <x:c r="A98" s="27" t="d">
        <x:v>2025-10-01T00:00:00.000Z</x:v>
      </x:c>
      <x:c r="B98" s="22" t="n">
        <x:f>SUMIFS('Cash'!$C$5:$C$97,'Cash'!$A$5:$A$97,"&lt;="&amp;A98)</x:f>
        <x:v>0</x:v>
      </x:c>
      <x:c r="C98" s="22" t="n">
        <x:f>SUMIFS('Cash'!$C$5:$C$97,'Cash'!$A$5:$A$97,A98)</x:f>
        <x:v>0</x:v>
      </x:c>
      <x:c r="D98" s="22" t="n">
        <x:f>SUMIFS('Cash'!$C$5:$C$97,'Cash'!$A$5:$A$97,"&lt;="&amp;A98,'Cash'!$B$5:$B$97,"EXTERNAL_FUNDING")</x:f>
        <x:v>19235485</x:v>
      </x:c>
      <x:c r="E98" s="22" t="n">
        <x:f>SUMIFS('Cash'!$C$5:$C$97,'Cash'!$A$5:$A$97,"&lt;="&amp;A98,'Cash'!$B$5:$B$97,"DIVIDEND_NET")</x:f>
        <x:v>0</x:v>
      </x:c>
      <x:c r="F98" s="30" t="str">
        <x:v>n.a.</x:v>
      </x:c>
      <x:c r="G98" s="30" t="str">
        <x:v>n.a.</x:v>
      </x:c>
      <x:c r="H98" s="30" t="str">
        <x:v>n.a.</x:v>
      </x:c>
      <x:c r="I98" s="30" t="str">
        <x:f>IF(COUNT(B98,F98:H98)=4,B98+F98+G98-H98,"n.a.")</x:f>
        <x:v>n.a.</x:v>
      </x:c>
      <x:c r="J98" s="30" t="str">
        <x:v>n.a.</x:v>
      </x:c>
      <x:c r="K98" s="17"/>
      <x:c r="L98" s="17"/>
      <x:c r="M98" s="17"/>
      <x:c r="N98" s="17"/>
    </x:row>
    <x:row r="99" ht="21" customHeight="1">
      <x:c r="A99" s="27" t="d">
        <x:v>2025-10-02T00:00:00.000Z</x:v>
      </x:c>
      <x:c r="B99" s="22" t="n">
        <x:f>SUMIFS('Cash'!$C$5:$C$97,'Cash'!$A$5:$A$97,"&lt;="&amp;A99)</x:f>
        <x:v>0</x:v>
      </x:c>
      <x:c r="C99" s="22" t="n">
        <x:f>SUMIFS('Cash'!$C$5:$C$97,'Cash'!$A$5:$A$97,A99)</x:f>
        <x:v>0</x:v>
      </x:c>
      <x:c r="D99" s="22" t="n">
        <x:f>SUMIFS('Cash'!$C$5:$C$97,'Cash'!$A$5:$A$97,"&lt;="&amp;A99,'Cash'!$B$5:$B$97,"EXTERNAL_FUNDING")</x:f>
        <x:v>19235485</x:v>
      </x:c>
      <x:c r="E99" s="22" t="n">
        <x:f>SUMIFS('Cash'!$C$5:$C$97,'Cash'!$A$5:$A$97,"&lt;="&amp;A99,'Cash'!$B$5:$B$97,"DIVIDEND_NET")</x:f>
        <x:v>0</x:v>
      </x:c>
      <x:c r="F99" s="30" t="str">
        <x:v>n.a.</x:v>
      </x:c>
      <x:c r="G99" s="30" t="str">
        <x:v>n.a.</x:v>
      </x:c>
      <x:c r="H99" s="30" t="str">
        <x:v>n.a.</x:v>
      </x:c>
      <x:c r="I99" s="30" t="str">
        <x:f>IF(COUNT(B99,F99:H99)=4,B99+F99+G99-H99,"n.a.")</x:f>
        <x:v>n.a.</x:v>
      </x:c>
      <x:c r="J99" s="30" t="str">
        <x:v>n.a.</x:v>
      </x:c>
      <x:c r="K99" s="17"/>
      <x:c r="L99" s="17"/>
      <x:c r="M99" s="17"/>
      <x:c r="N99" s="17"/>
    </x:row>
    <x:row r="100" ht="21" customHeight="1">
      <x:c r="A100" s="27" t="d">
        <x:v>2025-10-03T00:00:00.000Z</x:v>
      </x:c>
      <x:c r="B100" s="22" t="n">
        <x:f>SUMIFS('Cash'!$C$5:$C$97,'Cash'!$A$5:$A$97,"&lt;="&amp;A100)</x:f>
        <x:v>0</x:v>
      </x:c>
      <x:c r="C100" s="22" t="n">
        <x:f>SUMIFS('Cash'!$C$5:$C$97,'Cash'!$A$5:$A$97,A100)</x:f>
        <x:v>0</x:v>
      </x:c>
      <x:c r="D100" s="22" t="n">
        <x:f>SUMIFS('Cash'!$C$5:$C$97,'Cash'!$A$5:$A$97,"&lt;="&amp;A100,'Cash'!$B$5:$B$97,"EXTERNAL_FUNDING")</x:f>
        <x:v>19235485</x:v>
      </x:c>
      <x:c r="E100" s="22" t="n">
        <x:f>SUMIFS('Cash'!$C$5:$C$97,'Cash'!$A$5:$A$97,"&lt;="&amp;A100,'Cash'!$B$5:$B$97,"DIVIDEND_NET")</x:f>
        <x:v>0</x:v>
      </x:c>
      <x:c r="F100" s="30" t="str">
        <x:v>n.a.</x:v>
      </x:c>
      <x:c r="G100" s="30" t="str">
        <x:v>n.a.</x:v>
      </x:c>
      <x:c r="H100" s="30" t="str">
        <x:v>n.a.</x:v>
      </x:c>
      <x:c r="I100" s="30" t="str">
        <x:f>IF(COUNT(B100,F100:H100)=4,B100+F100+G100-H100,"n.a.")</x:f>
        <x:v>n.a.</x:v>
      </x:c>
      <x:c r="J100" s="30" t="str">
        <x:v>n.a.</x:v>
      </x:c>
      <x:c r="K100" s="17"/>
      <x:c r="L100" s="17"/>
      <x:c r="M100" s="17"/>
      <x:c r="N100" s="17"/>
    </x:row>
    <x:row r="101" ht="21" customHeight="1">
      <x:c r="A101" s="27" t="d">
        <x:v>2025-10-04T00:00:00.000Z</x:v>
      </x:c>
      <x:c r="B101" s="22" t="n">
        <x:f>SUMIFS('Cash'!$C$5:$C$97,'Cash'!$A$5:$A$97,"&lt;="&amp;A101)</x:f>
        <x:v>0</x:v>
      </x:c>
      <x:c r="C101" s="22" t="n">
        <x:f>SUMIFS('Cash'!$C$5:$C$97,'Cash'!$A$5:$A$97,A101)</x:f>
        <x:v>0</x:v>
      </x:c>
      <x:c r="D101" s="22" t="n">
        <x:f>SUMIFS('Cash'!$C$5:$C$97,'Cash'!$A$5:$A$97,"&lt;="&amp;A101,'Cash'!$B$5:$B$97,"EXTERNAL_FUNDING")</x:f>
        <x:v>19235485</x:v>
      </x:c>
      <x:c r="E101" s="22" t="n">
        <x:f>SUMIFS('Cash'!$C$5:$C$97,'Cash'!$A$5:$A$97,"&lt;="&amp;A101,'Cash'!$B$5:$B$97,"DIVIDEND_NET")</x:f>
        <x:v>0</x:v>
      </x:c>
      <x:c r="F101" s="30" t="str">
        <x:v>n.a.</x:v>
      </x:c>
      <x:c r="G101" s="30" t="str">
        <x:v>n.a.</x:v>
      </x:c>
      <x:c r="H101" s="30" t="str">
        <x:v>n.a.</x:v>
      </x:c>
      <x:c r="I101" s="30" t="str">
        <x:f>IF(COUNT(B101,F101:H101)=4,B101+F101+G101-H101,"n.a.")</x:f>
        <x:v>n.a.</x:v>
      </x:c>
      <x:c r="J101" s="30" t="str">
        <x:v>n.a.</x:v>
      </x:c>
      <x:c r="K101" s="17"/>
      <x:c r="L101" s="17"/>
      <x:c r="M101" s="17"/>
      <x:c r="N101" s="17"/>
    </x:row>
    <x:row r="102" ht="21" customHeight="1">
      <x:c r="A102" s="27" t="d">
        <x:v>2025-10-05T00:00:00.000Z</x:v>
      </x:c>
      <x:c r="B102" s="22" t="n">
        <x:f>SUMIFS('Cash'!$C$5:$C$97,'Cash'!$A$5:$A$97,"&lt;="&amp;A102)</x:f>
        <x:v>0</x:v>
      </x:c>
      <x:c r="C102" s="22" t="n">
        <x:f>SUMIFS('Cash'!$C$5:$C$97,'Cash'!$A$5:$A$97,A102)</x:f>
        <x:v>0</x:v>
      </x:c>
      <x:c r="D102" s="22" t="n">
        <x:f>SUMIFS('Cash'!$C$5:$C$97,'Cash'!$A$5:$A$97,"&lt;="&amp;A102,'Cash'!$B$5:$B$97,"EXTERNAL_FUNDING")</x:f>
        <x:v>19235485</x:v>
      </x:c>
      <x:c r="E102" s="22" t="n">
        <x:f>SUMIFS('Cash'!$C$5:$C$97,'Cash'!$A$5:$A$97,"&lt;="&amp;A102,'Cash'!$B$5:$B$97,"DIVIDEND_NET")</x:f>
        <x:v>0</x:v>
      </x:c>
      <x:c r="F102" s="30" t="str">
        <x:v>n.a.</x:v>
      </x:c>
      <x:c r="G102" s="30" t="str">
        <x:v>n.a.</x:v>
      </x:c>
      <x:c r="H102" s="30" t="str">
        <x:v>n.a.</x:v>
      </x:c>
      <x:c r="I102" s="30" t="str">
        <x:f>IF(COUNT(B102,F102:H102)=4,B102+F102+G102-H102,"n.a.")</x:f>
        <x:v>n.a.</x:v>
      </x:c>
      <x:c r="J102" s="30" t="str">
        <x:v>n.a.</x:v>
      </x:c>
      <x:c r="K102" s="17"/>
      <x:c r="L102" s="17"/>
      <x:c r="M102" s="17"/>
      <x:c r="N102" s="17"/>
    </x:row>
    <x:row r="103" ht="21" customHeight="1">
      <x:c r="A103" s="27" t="d">
        <x:v>2025-10-06T00:00:00.000Z</x:v>
      </x:c>
      <x:c r="B103" s="22" t="n">
        <x:f>SUMIFS('Cash'!$C$5:$C$97,'Cash'!$A$5:$A$97,"&lt;="&amp;A103)</x:f>
        <x:v>0</x:v>
      </x:c>
      <x:c r="C103" s="22" t="n">
        <x:f>SUMIFS('Cash'!$C$5:$C$97,'Cash'!$A$5:$A$97,A103)</x:f>
        <x:v>0</x:v>
      </x:c>
      <x:c r="D103" s="22" t="n">
        <x:f>SUMIFS('Cash'!$C$5:$C$97,'Cash'!$A$5:$A$97,"&lt;="&amp;A103,'Cash'!$B$5:$B$97,"EXTERNAL_FUNDING")</x:f>
        <x:v>19235485</x:v>
      </x:c>
      <x:c r="E103" s="22" t="n">
        <x:f>SUMIFS('Cash'!$C$5:$C$97,'Cash'!$A$5:$A$97,"&lt;="&amp;A103,'Cash'!$B$5:$B$97,"DIVIDEND_NET")</x:f>
        <x:v>0</x:v>
      </x:c>
      <x:c r="F103" s="30" t="str">
        <x:v>n.a.</x:v>
      </x:c>
      <x:c r="G103" s="30" t="str">
        <x:v>n.a.</x:v>
      </x:c>
      <x:c r="H103" s="30" t="str">
        <x:v>n.a.</x:v>
      </x:c>
      <x:c r="I103" s="30" t="str">
        <x:f>IF(COUNT(B103,F103:H103)=4,B103+F103+G103-H103,"n.a.")</x:f>
        <x:v>n.a.</x:v>
      </x:c>
      <x:c r="J103" s="30" t="str">
        <x:v>n.a.</x:v>
      </x:c>
      <x:c r="K103" s="17"/>
      <x:c r="L103" s="17"/>
      <x:c r="M103" s="17"/>
      <x:c r="N103" s="17"/>
    </x:row>
    <x:row r="104" ht="21" customHeight="1">
      <x:c r="A104" s="27" t="d">
        <x:v>2025-10-07T00:00:00.000Z</x:v>
      </x:c>
      <x:c r="B104" s="22" t="n">
        <x:f>SUMIFS('Cash'!$C$5:$C$97,'Cash'!$A$5:$A$97,"&lt;="&amp;A104)</x:f>
        <x:v>0</x:v>
      </x:c>
      <x:c r="C104" s="22" t="n">
        <x:f>SUMIFS('Cash'!$C$5:$C$97,'Cash'!$A$5:$A$97,A104)</x:f>
        <x:v>0</x:v>
      </x:c>
      <x:c r="D104" s="22" t="n">
        <x:f>SUMIFS('Cash'!$C$5:$C$97,'Cash'!$A$5:$A$97,"&lt;="&amp;A104,'Cash'!$B$5:$B$97,"EXTERNAL_FUNDING")</x:f>
        <x:v>19235485</x:v>
      </x:c>
      <x:c r="E104" s="22" t="n">
        <x:f>SUMIFS('Cash'!$C$5:$C$97,'Cash'!$A$5:$A$97,"&lt;="&amp;A104,'Cash'!$B$5:$B$97,"DIVIDEND_NET")</x:f>
        <x:v>0</x:v>
      </x:c>
      <x:c r="F104" s="30" t="str">
        <x:v>n.a.</x:v>
      </x:c>
      <x:c r="G104" s="30" t="str">
        <x:v>n.a.</x:v>
      </x:c>
      <x:c r="H104" s="30" t="str">
        <x:v>n.a.</x:v>
      </x:c>
      <x:c r="I104" s="30" t="str">
        <x:f>IF(COUNT(B104,F104:H104)=4,B104+F104+G104-H104,"n.a.")</x:f>
        <x:v>n.a.</x:v>
      </x:c>
      <x:c r="J104" s="30" t="str">
        <x:v>n.a.</x:v>
      </x:c>
      <x:c r="K104" s="17"/>
      <x:c r="L104" s="17"/>
      <x:c r="M104" s="17"/>
      <x:c r="N104" s="17"/>
    </x:row>
    <x:row r="105" ht="21" customHeight="1">
      <x:c r="A105" s="27" t="d">
        <x:v>2025-10-08T00:00:00.000Z</x:v>
      </x:c>
      <x:c r="B105" s="22" t="n">
        <x:f>SUMIFS('Cash'!$C$5:$C$97,'Cash'!$A$5:$A$97,"&lt;="&amp;A105)</x:f>
        <x:v>28</x:v>
      </x:c>
      <x:c r="C105" s="22" t="n">
        <x:f>SUMIFS('Cash'!$C$5:$C$97,'Cash'!$A$5:$A$97,A105)</x:f>
        <x:v>28</x:v>
      </x:c>
      <x:c r="D105" s="22" t="n">
        <x:f>SUMIFS('Cash'!$C$5:$C$97,'Cash'!$A$5:$A$97,"&lt;="&amp;A105,'Cash'!$B$5:$B$97,"EXTERNAL_FUNDING")</x:f>
        <x:v>28828550</x:v>
      </x:c>
      <x:c r="E105" s="22" t="n">
        <x:f>SUMIFS('Cash'!$C$5:$C$97,'Cash'!$A$5:$A$97,"&lt;="&amp;A105,'Cash'!$B$5:$B$97,"DIVIDEND_NET")</x:f>
        <x:v>0</x:v>
      </x:c>
      <x:c r="F105" s="30" t="str">
        <x:v>n.a.</x:v>
      </x:c>
      <x:c r="G105" s="30" t="str">
        <x:v>n.a.</x:v>
      </x:c>
      <x:c r="H105" s="30" t="str">
        <x:v>n.a.</x:v>
      </x:c>
      <x:c r="I105" s="30" t="str">
        <x:f>IF(COUNT(B105,F105:H105)=4,B105+F105+G105-H105,"n.a.")</x:f>
        <x:v>n.a.</x:v>
      </x:c>
      <x:c r="J105" s="30" t="str">
        <x:v>n.a.</x:v>
      </x:c>
      <x:c r="K105" s="17"/>
      <x:c r="L105" s="17"/>
      <x:c r="M105" s="17"/>
      <x:c r="N105" s="17"/>
    </x:row>
    <x:row r="106" ht="21" customHeight="1">
      <x:c r="A106" s="27" t="d">
        <x:v>2025-10-09T00:00:00.000Z</x:v>
      </x:c>
      <x:c r="B106" s="22" t="n">
        <x:f>SUMIFS('Cash'!$C$5:$C$97,'Cash'!$A$5:$A$97,"&lt;="&amp;A106)</x:f>
        <x:v>28</x:v>
      </x:c>
      <x:c r="C106" s="22" t="n">
        <x:f>SUMIFS('Cash'!$C$5:$C$97,'Cash'!$A$5:$A$97,A106)</x:f>
        <x:v>0</x:v>
      </x:c>
      <x:c r="D106" s="22" t="n">
        <x:f>SUMIFS('Cash'!$C$5:$C$97,'Cash'!$A$5:$A$97,"&lt;="&amp;A106,'Cash'!$B$5:$B$97,"EXTERNAL_FUNDING")</x:f>
        <x:v>28828550</x:v>
      </x:c>
      <x:c r="E106" s="22" t="n">
        <x:f>SUMIFS('Cash'!$C$5:$C$97,'Cash'!$A$5:$A$97,"&lt;="&amp;A106,'Cash'!$B$5:$B$97,"DIVIDEND_NET")</x:f>
        <x:v>0</x:v>
      </x:c>
      <x:c r="F106" s="30" t="str">
        <x:v>n.a.</x:v>
      </x:c>
      <x:c r="G106" s="30" t="str">
        <x:v>n.a.</x:v>
      </x:c>
      <x:c r="H106" s="30" t="str">
        <x:v>n.a.</x:v>
      </x:c>
      <x:c r="I106" s="30" t="str">
        <x:f>IF(COUNT(B106,F106:H106)=4,B106+F106+G106-H106,"n.a.")</x:f>
        <x:v>n.a.</x:v>
      </x:c>
      <x:c r="J106" s="30" t="str">
        <x:v>n.a.</x:v>
      </x:c>
      <x:c r="K106" s="17"/>
      <x:c r="L106" s="17"/>
      <x:c r="M106" s="17"/>
      <x:c r="N106" s="17"/>
    </x:row>
    <x:row r="107" ht="21" customHeight="1">
      <x:c r="A107" s="27" t="d">
        <x:v>2025-10-10T00:00:00.000Z</x:v>
      </x:c>
      <x:c r="B107" s="22" t="n">
        <x:f>SUMIFS('Cash'!$C$5:$C$97,'Cash'!$A$5:$A$97,"&lt;="&amp;A107)</x:f>
        <x:v>28</x:v>
      </x:c>
      <x:c r="C107" s="22" t="n">
        <x:f>SUMIFS('Cash'!$C$5:$C$97,'Cash'!$A$5:$A$97,A107)</x:f>
        <x:v>0</x:v>
      </x:c>
      <x:c r="D107" s="22" t="n">
        <x:f>SUMIFS('Cash'!$C$5:$C$97,'Cash'!$A$5:$A$97,"&lt;="&amp;A107,'Cash'!$B$5:$B$97,"EXTERNAL_FUNDING")</x:f>
        <x:v>28828550</x:v>
      </x:c>
      <x:c r="E107" s="22" t="n">
        <x:f>SUMIFS('Cash'!$C$5:$C$97,'Cash'!$A$5:$A$97,"&lt;="&amp;A107,'Cash'!$B$5:$B$97,"DIVIDEND_NET")</x:f>
        <x:v>0</x:v>
      </x:c>
      <x:c r="F107" s="30" t="str">
        <x:v>n.a.</x:v>
      </x:c>
      <x:c r="G107" s="30" t="str">
        <x:v>n.a.</x:v>
      </x:c>
      <x:c r="H107" s="30" t="str">
        <x:v>n.a.</x:v>
      </x:c>
      <x:c r="I107" s="30" t="str">
        <x:f>IF(COUNT(B107,F107:H107)=4,B107+F107+G107-H107,"n.a.")</x:f>
        <x:v>n.a.</x:v>
      </x:c>
      <x:c r="J107" s="30" t="str">
        <x:v>n.a.</x:v>
      </x:c>
      <x:c r="K107" s="17"/>
      <x:c r="L107" s="17"/>
      <x:c r="M107" s="17"/>
      <x:c r="N107" s="17"/>
    </x:row>
    <x:row r="108" ht="21" customHeight="1">
      <x:c r="A108" s="27" t="d">
        <x:v>2025-10-11T00:00:00.000Z</x:v>
      </x:c>
      <x:c r="B108" s="22" t="n">
        <x:f>SUMIFS('Cash'!$C$5:$C$97,'Cash'!$A$5:$A$97,"&lt;="&amp;A108)</x:f>
        <x:v>28</x:v>
      </x:c>
      <x:c r="C108" s="22" t="n">
        <x:f>SUMIFS('Cash'!$C$5:$C$97,'Cash'!$A$5:$A$97,A108)</x:f>
        <x:v>0</x:v>
      </x:c>
      <x:c r="D108" s="22" t="n">
        <x:f>SUMIFS('Cash'!$C$5:$C$97,'Cash'!$A$5:$A$97,"&lt;="&amp;A108,'Cash'!$B$5:$B$97,"EXTERNAL_FUNDING")</x:f>
        <x:v>28828550</x:v>
      </x:c>
      <x:c r="E108" s="22" t="n">
        <x:f>SUMIFS('Cash'!$C$5:$C$97,'Cash'!$A$5:$A$97,"&lt;="&amp;A108,'Cash'!$B$5:$B$97,"DIVIDEND_NET")</x:f>
        <x:v>0</x:v>
      </x:c>
      <x:c r="F108" s="30" t="str">
        <x:v>n.a.</x:v>
      </x:c>
      <x:c r="G108" s="30" t="str">
        <x:v>n.a.</x:v>
      </x:c>
      <x:c r="H108" s="30" t="str">
        <x:v>n.a.</x:v>
      </x:c>
      <x:c r="I108" s="30" t="str">
        <x:f>IF(COUNT(B108,F108:H108)=4,B108+F108+G108-H108,"n.a.")</x:f>
        <x:v>n.a.</x:v>
      </x:c>
      <x:c r="J108" s="30" t="str">
        <x:v>n.a.</x:v>
      </x:c>
      <x:c r="K108" s="17"/>
      <x:c r="L108" s="17"/>
      <x:c r="M108" s="17"/>
      <x:c r="N108" s="17"/>
    </x:row>
    <x:row r="109" ht="21" customHeight="1">
      <x:c r="A109" s="27" t="d">
        <x:v>2025-10-12T00:00:00.000Z</x:v>
      </x:c>
      <x:c r="B109" s="22" t="n">
        <x:f>SUMIFS('Cash'!$C$5:$C$97,'Cash'!$A$5:$A$97,"&lt;="&amp;A109)</x:f>
        <x:v>28</x:v>
      </x:c>
      <x:c r="C109" s="22" t="n">
        <x:f>SUMIFS('Cash'!$C$5:$C$97,'Cash'!$A$5:$A$97,A109)</x:f>
        <x:v>0</x:v>
      </x:c>
      <x:c r="D109" s="22" t="n">
        <x:f>SUMIFS('Cash'!$C$5:$C$97,'Cash'!$A$5:$A$97,"&lt;="&amp;A109,'Cash'!$B$5:$B$97,"EXTERNAL_FUNDING")</x:f>
        <x:v>28828550</x:v>
      </x:c>
      <x:c r="E109" s="22" t="n">
        <x:f>SUMIFS('Cash'!$C$5:$C$97,'Cash'!$A$5:$A$97,"&lt;="&amp;A109,'Cash'!$B$5:$B$97,"DIVIDEND_NET")</x:f>
        <x:v>0</x:v>
      </x:c>
      <x:c r="F109" s="30" t="str">
        <x:v>n.a.</x:v>
      </x:c>
      <x:c r="G109" s="30" t="str">
        <x:v>n.a.</x:v>
      </x:c>
      <x:c r="H109" s="30" t="str">
        <x:v>n.a.</x:v>
      </x:c>
      <x:c r="I109" s="30" t="str">
        <x:f>IF(COUNT(B109,F109:H109)=4,B109+F109+G109-H109,"n.a.")</x:f>
        <x:v>n.a.</x:v>
      </x:c>
      <x:c r="J109" s="30" t="str">
        <x:v>n.a.</x:v>
      </x:c>
      <x:c r="K109" s="17"/>
      <x:c r="L109" s="17"/>
      <x:c r="M109" s="17"/>
      <x:c r="N109" s="17"/>
    </x:row>
    <x:row r="110" ht="21" customHeight="1">
      <x:c r="A110" s="27" t="d">
        <x:v>2025-10-13T00:00:00.000Z</x:v>
      </x:c>
      <x:c r="B110" s="22" t="n">
        <x:f>SUMIFS('Cash'!$C$5:$C$97,'Cash'!$A$5:$A$97,"&lt;="&amp;A110)</x:f>
        <x:v>28</x:v>
      </x:c>
      <x:c r="C110" s="22" t="n">
        <x:f>SUMIFS('Cash'!$C$5:$C$97,'Cash'!$A$5:$A$97,A110)</x:f>
        <x:v>0</x:v>
      </x:c>
      <x:c r="D110" s="22" t="n">
        <x:f>SUMIFS('Cash'!$C$5:$C$97,'Cash'!$A$5:$A$97,"&lt;="&amp;A110,'Cash'!$B$5:$B$97,"EXTERNAL_FUNDING")</x:f>
        <x:v>28828550</x:v>
      </x:c>
      <x:c r="E110" s="22" t="n">
        <x:f>SUMIFS('Cash'!$C$5:$C$97,'Cash'!$A$5:$A$97,"&lt;="&amp;A110,'Cash'!$B$5:$B$97,"DIVIDEND_NET")</x:f>
        <x:v>0</x:v>
      </x:c>
      <x:c r="F110" s="30" t="str">
        <x:v>n.a.</x:v>
      </x:c>
      <x:c r="G110" s="30" t="str">
        <x:v>n.a.</x:v>
      </x:c>
      <x:c r="H110" s="30" t="str">
        <x:v>n.a.</x:v>
      </x:c>
      <x:c r="I110" s="30" t="str">
        <x:f>IF(COUNT(B110,F110:H110)=4,B110+F110+G110-H110,"n.a.")</x:f>
        <x:v>n.a.</x:v>
      </x:c>
      <x:c r="J110" s="30" t="str">
        <x:v>n.a.</x:v>
      </x:c>
      <x:c r="K110" s="17"/>
      <x:c r="L110" s="17"/>
      <x:c r="M110" s="17"/>
      <x:c r="N110" s="17"/>
    </x:row>
    <x:row r="111" ht="21" customHeight="1">
      <x:c r="A111" s="27" t="d">
        <x:v>2025-10-14T00:00:00.000Z</x:v>
      </x:c>
      <x:c r="B111" s="22" t="n">
        <x:f>SUMIFS('Cash'!$C$5:$C$97,'Cash'!$A$5:$A$97,"&lt;="&amp;A111)</x:f>
        <x:v>28</x:v>
      </x:c>
      <x:c r="C111" s="22" t="n">
        <x:f>SUMIFS('Cash'!$C$5:$C$97,'Cash'!$A$5:$A$97,A111)</x:f>
        <x:v>0</x:v>
      </x:c>
      <x:c r="D111" s="22" t="n">
        <x:f>SUMIFS('Cash'!$C$5:$C$97,'Cash'!$A$5:$A$97,"&lt;="&amp;A111,'Cash'!$B$5:$B$97,"EXTERNAL_FUNDING")</x:f>
        <x:v>28828550</x:v>
      </x:c>
      <x:c r="E111" s="22" t="n">
        <x:f>SUMIFS('Cash'!$C$5:$C$97,'Cash'!$A$5:$A$97,"&lt;="&amp;A111,'Cash'!$B$5:$B$97,"DIVIDEND_NET")</x:f>
        <x:v>0</x:v>
      </x:c>
      <x:c r="F111" s="30" t="str">
        <x:v>n.a.</x:v>
      </x:c>
      <x:c r="G111" s="30" t="str">
        <x:v>n.a.</x:v>
      </x:c>
      <x:c r="H111" s="30" t="str">
        <x:v>n.a.</x:v>
      </x:c>
      <x:c r="I111" s="30" t="str">
        <x:f>IF(COUNT(B111,F111:H111)=4,B111+F111+G111-H111,"n.a.")</x:f>
        <x:v>n.a.</x:v>
      </x:c>
      <x:c r="J111" s="30" t="str">
        <x:v>n.a.</x:v>
      </x:c>
      <x:c r="K111" s="17"/>
      <x:c r="L111" s="17"/>
      <x:c r="M111" s="17"/>
      <x:c r="N111" s="17"/>
    </x:row>
    <x:row r="112" ht="21" customHeight="1">
      <x:c r="A112" s="27" t="d">
        <x:v>2025-10-15T00:00:00.000Z</x:v>
      </x:c>
      <x:c r="B112" s="22" t="n">
        <x:f>SUMIFS('Cash'!$C$5:$C$97,'Cash'!$A$5:$A$97,"&lt;="&amp;A112)</x:f>
        <x:v>28</x:v>
      </x:c>
      <x:c r="C112" s="22" t="n">
        <x:f>SUMIFS('Cash'!$C$5:$C$97,'Cash'!$A$5:$A$97,A112)</x:f>
        <x:v>0</x:v>
      </x:c>
      <x:c r="D112" s="22" t="n">
        <x:f>SUMIFS('Cash'!$C$5:$C$97,'Cash'!$A$5:$A$97,"&lt;="&amp;A112,'Cash'!$B$5:$B$97,"EXTERNAL_FUNDING")</x:f>
        <x:v>28828550</x:v>
      </x:c>
      <x:c r="E112" s="22" t="n">
        <x:f>SUMIFS('Cash'!$C$5:$C$97,'Cash'!$A$5:$A$97,"&lt;="&amp;A112,'Cash'!$B$5:$B$97,"DIVIDEND_NET")</x:f>
        <x:v>0</x:v>
      </x:c>
      <x:c r="F112" s="30" t="str">
        <x:v>n.a.</x:v>
      </x:c>
      <x:c r="G112" s="30" t="str">
        <x:v>n.a.</x:v>
      </x:c>
      <x:c r="H112" s="30" t="str">
        <x:v>n.a.</x:v>
      </x:c>
      <x:c r="I112" s="30" t="str">
        <x:f>IF(COUNT(B112,F112:H112)=4,B112+F112+G112-H112,"n.a.")</x:f>
        <x:v>n.a.</x:v>
      </x:c>
      <x:c r="J112" s="30" t="str">
        <x:v>n.a.</x:v>
      </x:c>
      <x:c r="K112" s="17"/>
      <x:c r="L112" s="17"/>
      <x:c r="M112" s="17"/>
      <x:c r="N112" s="17"/>
    </x:row>
    <x:row r="113" ht="21" customHeight="1">
      <x:c r="A113" s="27" t="d">
        <x:v>2025-10-16T00:00:00.000Z</x:v>
      </x:c>
      <x:c r="B113" s="22" t="n">
        <x:f>SUMIFS('Cash'!$C$5:$C$97,'Cash'!$A$5:$A$97,"&lt;="&amp;A113)</x:f>
        <x:v>28</x:v>
      </x:c>
      <x:c r="C113" s="22" t="n">
        <x:f>SUMIFS('Cash'!$C$5:$C$97,'Cash'!$A$5:$A$97,A113)</x:f>
        <x:v>0</x:v>
      </x:c>
      <x:c r="D113" s="22" t="n">
        <x:f>SUMIFS('Cash'!$C$5:$C$97,'Cash'!$A$5:$A$97,"&lt;="&amp;A113,'Cash'!$B$5:$B$97,"EXTERNAL_FUNDING")</x:f>
        <x:v>28828550</x:v>
      </x:c>
      <x:c r="E113" s="22" t="n">
        <x:f>SUMIFS('Cash'!$C$5:$C$97,'Cash'!$A$5:$A$97,"&lt;="&amp;A113,'Cash'!$B$5:$B$97,"DIVIDEND_NET")</x:f>
        <x:v>0</x:v>
      </x:c>
      <x:c r="F113" s="30" t="str">
        <x:v>n.a.</x:v>
      </x:c>
      <x:c r="G113" s="30" t="str">
        <x:v>n.a.</x:v>
      </x:c>
      <x:c r="H113" s="30" t="str">
        <x:v>n.a.</x:v>
      </x:c>
      <x:c r="I113" s="30" t="str">
        <x:f>IF(COUNT(B113,F113:H113)=4,B113+F113+G113-H113,"n.a.")</x:f>
        <x:v>n.a.</x:v>
      </x:c>
      <x:c r="J113" s="30" t="str">
        <x:v>n.a.</x:v>
      </x:c>
      <x:c r="K113" s="17"/>
      <x:c r="L113" s="17"/>
      <x:c r="M113" s="17"/>
      <x:c r="N113" s="17"/>
    </x:row>
    <x:row r="114" ht="21" customHeight="1">
      <x:c r="A114" s="27" t="d">
        <x:v>2025-10-17T00:00:00.000Z</x:v>
      </x:c>
      <x:c r="B114" s="22" t="n">
        <x:f>SUMIFS('Cash'!$C$5:$C$97,'Cash'!$A$5:$A$97,"&lt;="&amp;A114)</x:f>
        <x:v>28</x:v>
      </x:c>
      <x:c r="C114" s="22" t="n">
        <x:f>SUMIFS('Cash'!$C$5:$C$97,'Cash'!$A$5:$A$97,A114)</x:f>
        <x:v>0</x:v>
      </x:c>
      <x:c r="D114" s="22" t="n">
        <x:f>SUMIFS('Cash'!$C$5:$C$97,'Cash'!$A$5:$A$97,"&lt;="&amp;A114,'Cash'!$B$5:$B$97,"EXTERNAL_FUNDING")</x:f>
        <x:v>28828550</x:v>
      </x:c>
      <x:c r="E114" s="22" t="n">
        <x:f>SUMIFS('Cash'!$C$5:$C$97,'Cash'!$A$5:$A$97,"&lt;="&amp;A114,'Cash'!$B$5:$B$97,"DIVIDEND_NET")</x:f>
        <x:v>0</x:v>
      </x:c>
      <x:c r="F114" s="30" t="str">
        <x:v>n.a.</x:v>
      </x:c>
      <x:c r="G114" s="30" t="str">
        <x:v>n.a.</x:v>
      </x:c>
      <x:c r="H114" s="30" t="str">
        <x:v>n.a.</x:v>
      </x:c>
      <x:c r="I114" s="30" t="str">
        <x:f>IF(COUNT(B114,F114:H114)=4,B114+F114+G114-H114,"n.a.")</x:f>
        <x:v>n.a.</x:v>
      </x:c>
      <x:c r="J114" s="30" t="str">
        <x:v>n.a.</x:v>
      </x:c>
      <x:c r="K114" s="17"/>
      <x:c r="L114" s="17"/>
      <x:c r="M114" s="17"/>
      <x:c r="N114" s="17"/>
    </x:row>
    <x:row r="115" ht="21" customHeight="1">
      <x:c r="A115" s="27" t="d">
        <x:v>2025-10-18T00:00:00.000Z</x:v>
      </x:c>
      <x:c r="B115" s="22" t="n">
        <x:f>SUMIFS('Cash'!$C$5:$C$97,'Cash'!$A$5:$A$97,"&lt;="&amp;A115)</x:f>
        <x:v>28</x:v>
      </x:c>
      <x:c r="C115" s="22" t="n">
        <x:f>SUMIFS('Cash'!$C$5:$C$97,'Cash'!$A$5:$A$97,A115)</x:f>
        <x:v>0</x:v>
      </x:c>
      <x:c r="D115" s="22" t="n">
        <x:f>SUMIFS('Cash'!$C$5:$C$97,'Cash'!$A$5:$A$97,"&lt;="&amp;A115,'Cash'!$B$5:$B$97,"EXTERNAL_FUNDING")</x:f>
        <x:v>28828550</x:v>
      </x:c>
      <x:c r="E115" s="22" t="n">
        <x:f>SUMIFS('Cash'!$C$5:$C$97,'Cash'!$A$5:$A$97,"&lt;="&amp;A115,'Cash'!$B$5:$B$97,"DIVIDEND_NET")</x:f>
        <x:v>0</x:v>
      </x:c>
      <x:c r="F115" s="30" t="str">
        <x:v>n.a.</x:v>
      </x:c>
      <x:c r="G115" s="30" t="str">
        <x:v>n.a.</x:v>
      </x:c>
      <x:c r="H115" s="30" t="str">
        <x:v>n.a.</x:v>
      </x:c>
      <x:c r="I115" s="30" t="str">
        <x:f>IF(COUNT(B115,F115:H115)=4,B115+F115+G115-H115,"n.a.")</x:f>
        <x:v>n.a.</x:v>
      </x:c>
      <x:c r="J115" s="30" t="str">
        <x:v>n.a.</x:v>
      </x:c>
      <x:c r="K115" s="17"/>
      <x:c r="L115" s="17"/>
      <x:c r="M115" s="17"/>
      <x:c r="N115" s="17"/>
    </x:row>
    <x:row r="116" ht="21" customHeight="1">
      <x:c r="A116" s="27" t="d">
        <x:v>2025-10-19T00:00:00.000Z</x:v>
      </x:c>
      <x:c r="B116" s="22" t="n">
        <x:f>SUMIFS('Cash'!$C$5:$C$97,'Cash'!$A$5:$A$97,"&lt;="&amp;A116)</x:f>
        <x:v>28</x:v>
      </x:c>
      <x:c r="C116" s="22" t="n">
        <x:f>SUMIFS('Cash'!$C$5:$C$97,'Cash'!$A$5:$A$97,A116)</x:f>
        <x:v>0</x:v>
      </x:c>
      <x:c r="D116" s="22" t="n">
        <x:f>SUMIFS('Cash'!$C$5:$C$97,'Cash'!$A$5:$A$97,"&lt;="&amp;A116,'Cash'!$B$5:$B$97,"EXTERNAL_FUNDING")</x:f>
        <x:v>28828550</x:v>
      </x:c>
      <x:c r="E116" s="22" t="n">
        <x:f>SUMIFS('Cash'!$C$5:$C$97,'Cash'!$A$5:$A$97,"&lt;="&amp;A116,'Cash'!$B$5:$B$97,"DIVIDEND_NET")</x:f>
        <x:v>0</x:v>
      </x:c>
      <x:c r="F116" s="30" t="str">
        <x:v>n.a.</x:v>
      </x:c>
      <x:c r="G116" s="30" t="str">
        <x:v>n.a.</x:v>
      </x:c>
      <x:c r="H116" s="30" t="str">
        <x:v>n.a.</x:v>
      </x:c>
      <x:c r="I116" s="30" t="str">
        <x:f>IF(COUNT(B116,F116:H116)=4,B116+F116+G116-H116,"n.a.")</x:f>
        <x:v>n.a.</x:v>
      </x:c>
      <x:c r="J116" s="30" t="str">
        <x:v>n.a.</x:v>
      </x:c>
      <x:c r="K116" s="17"/>
      <x:c r="L116" s="17"/>
      <x:c r="M116" s="17"/>
      <x:c r="N116" s="17"/>
    </x:row>
    <x:row r="117" ht="21" customHeight="1">
      <x:c r="A117" s="27" t="d">
        <x:v>2025-10-20T00:00:00.000Z</x:v>
      </x:c>
      <x:c r="B117" s="22" t="n">
        <x:f>SUMIFS('Cash'!$C$5:$C$97,'Cash'!$A$5:$A$97,"&lt;="&amp;A117)</x:f>
        <x:v>28</x:v>
      </x:c>
      <x:c r="C117" s="22" t="n">
        <x:f>SUMIFS('Cash'!$C$5:$C$97,'Cash'!$A$5:$A$97,A117)</x:f>
        <x:v>0</x:v>
      </x:c>
      <x:c r="D117" s="22" t="n">
        <x:f>SUMIFS('Cash'!$C$5:$C$97,'Cash'!$A$5:$A$97,"&lt;="&amp;A117,'Cash'!$B$5:$B$97,"EXTERNAL_FUNDING")</x:f>
        <x:v>28828550</x:v>
      </x:c>
      <x:c r="E117" s="22" t="n">
        <x:f>SUMIFS('Cash'!$C$5:$C$97,'Cash'!$A$5:$A$97,"&lt;="&amp;A117,'Cash'!$B$5:$B$97,"DIVIDEND_NET")</x:f>
        <x:v>0</x:v>
      </x:c>
      <x:c r="F117" s="30" t="str">
        <x:v>n.a.</x:v>
      </x:c>
      <x:c r="G117" s="30" t="str">
        <x:v>n.a.</x:v>
      </x:c>
      <x:c r="H117" s="30" t="str">
        <x:v>n.a.</x:v>
      </x:c>
      <x:c r="I117" s="30" t="str">
        <x:f>IF(COUNT(B117,F117:H117)=4,B117+F117+G117-H117,"n.a.")</x:f>
        <x:v>n.a.</x:v>
      </x:c>
      <x:c r="J117" s="30" t="str">
        <x:v>n.a.</x:v>
      </x:c>
      <x:c r="K117" s="17"/>
      <x:c r="L117" s="17"/>
      <x:c r="M117" s="17"/>
      <x:c r="N117" s="17"/>
    </x:row>
    <x:row r="118" ht="21" customHeight="1">
      <x:c r="A118" s="27" t="d">
        <x:v>2025-10-21T00:00:00.000Z</x:v>
      </x:c>
      <x:c r="B118" s="22" t="n">
        <x:f>SUMIFS('Cash'!$C$5:$C$97,'Cash'!$A$5:$A$97,"&lt;="&amp;A118)</x:f>
        <x:v>28</x:v>
      </x:c>
      <x:c r="C118" s="22" t="n">
        <x:f>SUMIFS('Cash'!$C$5:$C$97,'Cash'!$A$5:$A$97,A118)</x:f>
        <x:v>0</x:v>
      </x:c>
      <x:c r="D118" s="22" t="n">
        <x:f>SUMIFS('Cash'!$C$5:$C$97,'Cash'!$A$5:$A$97,"&lt;="&amp;A118,'Cash'!$B$5:$B$97,"EXTERNAL_FUNDING")</x:f>
        <x:v>28828550</x:v>
      </x:c>
      <x:c r="E118" s="22" t="n">
        <x:f>SUMIFS('Cash'!$C$5:$C$97,'Cash'!$A$5:$A$97,"&lt;="&amp;A118,'Cash'!$B$5:$B$97,"DIVIDEND_NET")</x:f>
        <x:v>0</x:v>
      </x:c>
      <x:c r="F118" s="30" t="str">
        <x:v>n.a.</x:v>
      </x:c>
      <x:c r="G118" s="30" t="str">
        <x:v>n.a.</x:v>
      </x:c>
      <x:c r="H118" s="30" t="str">
        <x:v>n.a.</x:v>
      </x:c>
      <x:c r="I118" s="30" t="str">
        <x:f>IF(COUNT(B118,F118:H118)=4,B118+F118+G118-H118,"n.a.")</x:f>
        <x:v>n.a.</x:v>
      </x:c>
      <x:c r="J118" s="30" t="str">
        <x:v>n.a.</x:v>
      </x:c>
      <x:c r="K118" s="17"/>
      <x:c r="L118" s="17"/>
      <x:c r="M118" s="17"/>
      <x:c r="N118" s="17"/>
    </x:row>
    <x:row r="119" ht="21" customHeight="1">
      <x:c r="A119" s="27" t="d">
        <x:v>2025-10-22T00:00:00.000Z</x:v>
      </x:c>
      <x:c r="B119" s="22" t="n">
        <x:f>SUMIFS('Cash'!$C$5:$C$97,'Cash'!$A$5:$A$97,"&lt;="&amp;A119)</x:f>
        <x:v>28</x:v>
      </x:c>
      <x:c r="C119" s="22" t="n">
        <x:f>SUMIFS('Cash'!$C$5:$C$97,'Cash'!$A$5:$A$97,A119)</x:f>
        <x:v>0</x:v>
      </x:c>
      <x:c r="D119" s="22" t="n">
        <x:f>SUMIFS('Cash'!$C$5:$C$97,'Cash'!$A$5:$A$97,"&lt;="&amp;A119,'Cash'!$B$5:$B$97,"EXTERNAL_FUNDING")</x:f>
        <x:v>28828550</x:v>
      </x:c>
      <x:c r="E119" s="22" t="n">
        <x:f>SUMIFS('Cash'!$C$5:$C$97,'Cash'!$A$5:$A$97,"&lt;="&amp;A119,'Cash'!$B$5:$B$97,"DIVIDEND_NET")</x:f>
        <x:v>0</x:v>
      </x:c>
      <x:c r="F119" s="30" t="str">
        <x:v>n.a.</x:v>
      </x:c>
      <x:c r="G119" s="30" t="str">
        <x:v>n.a.</x:v>
      </x:c>
      <x:c r="H119" s="30" t="str">
        <x:v>n.a.</x:v>
      </x:c>
      <x:c r="I119" s="30" t="str">
        <x:f>IF(COUNT(B119,F119:H119)=4,B119+F119+G119-H119,"n.a.")</x:f>
        <x:v>n.a.</x:v>
      </x:c>
      <x:c r="J119" s="30" t="str">
        <x:v>n.a.</x:v>
      </x:c>
      <x:c r="K119" s="17"/>
      <x:c r="L119" s="17"/>
      <x:c r="M119" s="17"/>
      <x:c r="N119" s="17"/>
    </x:row>
    <x:row r="120" ht="21" customHeight="1">
      <x:c r="A120" s="27" t="d">
        <x:v>2025-10-23T00:00:00.000Z</x:v>
      </x:c>
      <x:c r="B120" s="22" t="n">
        <x:f>SUMIFS('Cash'!$C$5:$C$97,'Cash'!$A$5:$A$97,"&lt;="&amp;A120)</x:f>
        <x:v>28</x:v>
      </x:c>
      <x:c r="C120" s="22" t="n">
        <x:f>SUMIFS('Cash'!$C$5:$C$97,'Cash'!$A$5:$A$97,A120)</x:f>
        <x:v>0</x:v>
      </x:c>
      <x:c r="D120" s="22" t="n">
        <x:f>SUMIFS('Cash'!$C$5:$C$97,'Cash'!$A$5:$A$97,"&lt;="&amp;A120,'Cash'!$B$5:$B$97,"EXTERNAL_FUNDING")</x:f>
        <x:v>28828550</x:v>
      </x:c>
      <x:c r="E120" s="22" t="n">
        <x:f>SUMIFS('Cash'!$C$5:$C$97,'Cash'!$A$5:$A$97,"&lt;="&amp;A120,'Cash'!$B$5:$B$97,"DIVIDEND_NET")</x:f>
        <x:v>0</x:v>
      </x:c>
      <x:c r="F120" s="30" t="str">
        <x:v>n.a.</x:v>
      </x:c>
      <x:c r="G120" s="30" t="str">
        <x:v>n.a.</x:v>
      </x:c>
      <x:c r="H120" s="30" t="str">
        <x:v>n.a.</x:v>
      </x:c>
      <x:c r="I120" s="30" t="str">
        <x:f>IF(COUNT(B120,F120:H120)=4,B120+F120+G120-H120,"n.a.")</x:f>
        <x:v>n.a.</x:v>
      </x:c>
      <x:c r="J120" s="30" t="str">
        <x:v>n.a.</x:v>
      </x:c>
      <x:c r="K120" s="17"/>
      <x:c r="L120" s="17"/>
      <x:c r="M120" s="17"/>
      <x:c r="N120" s="17"/>
    </x:row>
    <x:row r="121" ht="21" customHeight="1">
      <x:c r="A121" s="27" t="d">
        <x:v>2025-10-24T00:00:00.000Z</x:v>
      </x:c>
      <x:c r="B121" s="22" t="n">
        <x:f>SUMIFS('Cash'!$C$5:$C$97,'Cash'!$A$5:$A$97,"&lt;="&amp;A121)</x:f>
        <x:v>42778</x:v>
      </x:c>
      <x:c r="C121" s="22" t="n">
        <x:f>SUMIFS('Cash'!$C$5:$C$97,'Cash'!$A$5:$A$97,A121)</x:f>
        <x:v>42750</x:v>
      </x:c>
      <x:c r="D121" s="22" t="n">
        <x:f>SUMIFS('Cash'!$C$5:$C$97,'Cash'!$A$5:$A$97,"&lt;="&amp;A121,'Cash'!$B$5:$B$97,"EXTERNAL_FUNDING")</x:f>
        <x:v>28828550</x:v>
      </x:c>
      <x:c r="E121" s="22" t="n">
        <x:f>SUMIFS('Cash'!$C$5:$C$97,'Cash'!$A$5:$A$97,"&lt;="&amp;A121,'Cash'!$B$5:$B$97,"DIVIDEND_NET")</x:f>
        <x:v>42750</x:v>
      </x:c>
      <x:c r="F121" s="30" t="str">
        <x:v>n.a.</x:v>
      </x:c>
      <x:c r="G121" s="30" t="str">
        <x:v>n.a.</x:v>
      </x:c>
      <x:c r="H121" s="30" t="str">
        <x:v>n.a.</x:v>
      </x:c>
      <x:c r="I121" s="30" t="str">
        <x:f>IF(COUNT(B121,F121:H121)=4,B121+F121+G121-H121,"n.a.")</x:f>
        <x:v>n.a.</x:v>
      </x:c>
      <x:c r="J121" s="30" t="str">
        <x:v>n.a.</x:v>
      </x:c>
      <x:c r="K121" s="17"/>
      <x:c r="L121" s="17"/>
      <x:c r="M121" s="17"/>
      <x:c r="N121" s="17"/>
    </x:row>
    <x:row r="122" ht="21" customHeight="1">
      <x:c r="A122" s="27" t="d">
        <x:v>2025-10-25T00:00:00.000Z</x:v>
      </x:c>
      <x:c r="B122" s="22" t="n">
        <x:f>SUMIFS('Cash'!$C$5:$C$97,'Cash'!$A$5:$A$97,"&lt;="&amp;A122)</x:f>
        <x:v>42778</x:v>
      </x:c>
      <x:c r="C122" s="22" t="n">
        <x:f>SUMIFS('Cash'!$C$5:$C$97,'Cash'!$A$5:$A$97,A122)</x:f>
        <x:v>0</x:v>
      </x:c>
      <x:c r="D122" s="22" t="n">
        <x:f>SUMIFS('Cash'!$C$5:$C$97,'Cash'!$A$5:$A$97,"&lt;="&amp;A122,'Cash'!$B$5:$B$97,"EXTERNAL_FUNDING")</x:f>
        <x:v>28828550</x:v>
      </x:c>
      <x:c r="E122" s="22" t="n">
        <x:f>SUMIFS('Cash'!$C$5:$C$97,'Cash'!$A$5:$A$97,"&lt;="&amp;A122,'Cash'!$B$5:$B$97,"DIVIDEND_NET")</x:f>
        <x:v>42750</x:v>
      </x:c>
      <x:c r="F122" s="30" t="str">
        <x:v>n.a.</x:v>
      </x:c>
      <x:c r="G122" s="30" t="str">
        <x:v>n.a.</x:v>
      </x:c>
      <x:c r="H122" s="30" t="str">
        <x:v>n.a.</x:v>
      </x:c>
      <x:c r="I122" s="30" t="str">
        <x:f>IF(COUNT(B122,F122:H122)=4,B122+F122+G122-H122,"n.a.")</x:f>
        <x:v>n.a.</x:v>
      </x:c>
      <x:c r="J122" s="30" t="str">
        <x:v>n.a.</x:v>
      </x:c>
      <x:c r="K122" s="17"/>
      <x:c r="L122" s="17"/>
      <x:c r="M122" s="17"/>
      <x:c r="N122" s="17"/>
    </x:row>
    <x:row r="123" ht="21" customHeight="1">
      <x:c r="A123" s="27" t="d">
        <x:v>2025-10-26T00:00:00.000Z</x:v>
      </x:c>
      <x:c r="B123" s="22" t="n">
        <x:f>SUMIFS('Cash'!$C$5:$C$97,'Cash'!$A$5:$A$97,"&lt;="&amp;A123)</x:f>
        <x:v>42778</x:v>
      </x:c>
      <x:c r="C123" s="22" t="n">
        <x:f>SUMIFS('Cash'!$C$5:$C$97,'Cash'!$A$5:$A$97,A123)</x:f>
        <x:v>0</x:v>
      </x:c>
      <x:c r="D123" s="22" t="n">
        <x:f>SUMIFS('Cash'!$C$5:$C$97,'Cash'!$A$5:$A$97,"&lt;="&amp;A123,'Cash'!$B$5:$B$97,"EXTERNAL_FUNDING")</x:f>
        <x:v>28828550</x:v>
      </x:c>
      <x:c r="E123" s="22" t="n">
        <x:f>SUMIFS('Cash'!$C$5:$C$97,'Cash'!$A$5:$A$97,"&lt;="&amp;A123,'Cash'!$B$5:$B$97,"DIVIDEND_NET")</x:f>
        <x:v>42750</x:v>
      </x:c>
      <x:c r="F123" s="30" t="str">
        <x:v>n.a.</x:v>
      </x:c>
      <x:c r="G123" s="30" t="str">
        <x:v>n.a.</x:v>
      </x:c>
      <x:c r="H123" s="30" t="str">
        <x:v>n.a.</x:v>
      </x:c>
      <x:c r="I123" s="30" t="str">
        <x:f>IF(COUNT(B123,F123:H123)=4,B123+F123+G123-H123,"n.a.")</x:f>
        <x:v>n.a.</x:v>
      </x:c>
      <x:c r="J123" s="30" t="str">
        <x:v>n.a.</x:v>
      </x:c>
      <x:c r="K123" s="17"/>
      <x:c r="L123" s="17"/>
      <x:c r="M123" s="17"/>
      <x:c r="N123" s="17"/>
    </x:row>
    <x:row r="124" ht="21" customHeight="1">
      <x:c r="A124" s="27" t="d">
        <x:v>2025-10-27T00:00:00.000Z</x:v>
      </x:c>
      <x:c r="B124" s="22" t="n">
        <x:f>SUMIFS('Cash'!$C$5:$C$97,'Cash'!$A$5:$A$97,"&lt;="&amp;A124)</x:f>
        <x:v>42778</x:v>
      </x:c>
      <x:c r="C124" s="22" t="n">
        <x:f>SUMIFS('Cash'!$C$5:$C$97,'Cash'!$A$5:$A$97,A124)</x:f>
        <x:v>0</x:v>
      </x:c>
      <x:c r="D124" s="22" t="n">
        <x:f>SUMIFS('Cash'!$C$5:$C$97,'Cash'!$A$5:$A$97,"&lt;="&amp;A124,'Cash'!$B$5:$B$97,"EXTERNAL_FUNDING")</x:f>
        <x:v>28828550</x:v>
      </x:c>
      <x:c r="E124" s="22" t="n">
        <x:f>SUMIFS('Cash'!$C$5:$C$97,'Cash'!$A$5:$A$97,"&lt;="&amp;A124,'Cash'!$B$5:$B$97,"DIVIDEND_NET")</x:f>
        <x:v>42750</x:v>
      </x:c>
      <x:c r="F124" s="30" t="str">
        <x:v>n.a.</x:v>
      </x:c>
      <x:c r="G124" s="30" t="str">
        <x:v>n.a.</x:v>
      </x:c>
      <x:c r="H124" s="30" t="str">
        <x:v>n.a.</x:v>
      </x:c>
      <x:c r="I124" s="30" t="str">
        <x:f>IF(COUNT(B124,F124:H124)=4,B124+F124+G124-H124,"n.a.")</x:f>
        <x:v>n.a.</x:v>
      </x:c>
      <x:c r="J124" s="30" t="str">
        <x:v>n.a.</x:v>
      </x:c>
      <x:c r="K124" s="17"/>
      <x:c r="L124" s="17"/>
      <x:c r="M124" s="17"/>
      <x:c r="N124" s="17"/>
    </x:row>
    <x:row r="125" ht="21" customHeight="1">
      <x:c r="A125" s="27" t="d">
        <x:v>2025-10-28T00:00:00.000Z</x:v>
      </x:c>
      <x:c r="B125" s="22" t="n">
        <x:f>SUMIFS('Cash'!$C$5:$C$97,'Cash'!$A$5:$A$97,"&lt;="&amp;A125)</x:f>
        <x:v>42778</x:v>
      </x:c>
      <x:c r="C125" s="22" t="n">
        <x:f>SUMIFS('Cash'!$C$5:$C$97,'Cash'!$A$5:$A$97,A125)</x:f>
        <x:v>0</x:v>
      </x:c>
      <x:c r="D125" s="22" t="n">
        <x:f>SUMIFS('Cash'!$C$5:$C$97,'Cash'!$A$5:$A$97,"&lt;="&amp;A125,'Cash'!$B$5:$B$97,"EXTERNAL_FUNDING")</x:f>
        <x:v>28828550</x:v>
      </x:c>
      <x:c r="E125" s="22" t="n">
        <x:f>SUMIFS('Cash'!$C$5:$C$97,'Cash'!$A$5:$A$97,"&lt;="&amp;A125,'Cash'!$B$5:$B$97,"DIVIDEND_NET")</x:f>
        <x:v>42750</x:v>
      </x:c>
      <x:c r="F125" s="30" t="str">
        <x:v>n.a.</x:v>
      </x:c>
      <x:c r="G125" s="30" t="str">
        <x:v>n.a.</x:v>
      </x:c>
      <x:c r="H125" s="30" t="str">
        <x:v>n.a.</x:v>
      </x:c>
      <x:c r="I125" s="30" t="str">
        <x:f>IF(COUNT(B125,F125:H125)=4,B125+F125+G125-H125,"n.a.")</x:f>
        <x:v>n.a.</x:v>
      </x:c>
      <x:c r="J125" s="30" t="str">
        <x:v>n.a.</x:v>
      </x:c>
      <x:c r="K125" s="17"/>
      <x:c r="L125" s="17"/>
      <x:c r="M125" s="17"/>
      <x:c r="N125" s="17"/>
    </x:row>
    <x:row r="126" ht="21" customHeight="1">
      <x:c r="A126" s="27" t="d">
        <x:v>2025-10-29T00:00:00.000Z</x:v>
      </x:c>
      <x:c r="B126" s="22" t="n">
        <x:f>SUMIFS('Cash'!$C$5:$C$97,'Cash'!$A$5:$A$97,"&lt;="&amp;A126)</x:f>
        <x:v>42778</x:v>
      </x:c>
      <x:c r="C126" s="22" t="n">
        <x:f>SUMIFS('Cash'!$C$5:$C$97,'Cash'!$A$5:$A$97,A126)</x:f>
        <x:v>0</x:v>
      </x:c>
      <x:c r="D126" s="22" t="n">
        <x:f>SUMIFS('Cash'!$C$5:$C$97,'Cash'!$A$5:$A$97,"&lt;="&amp;A126,'Cash'!$B$5:$B$97,"EXTERNAL_FUNDING")</x:f>
        <x:v>28828550</x:v>
      </x:c>
      <x:c r="E126" s="22" t="n">
        <x:f>SUMIFS('Cash'!$C$5:$C$97,'Cash'!$A$5:$A$97,"&lt;="&amp;A126,'Cash'!$B$5:$B$97,"DIVIDEND_NET")</x:f>
        <x:v>42750</x:v>
      </x:c>
      <x:c r="F126" s="30" t="str">
        <x:v>n.a.</x:v>
      </x:c>
      <x:c r="G126" s="30" t="str">
        <x:v>n.a.</x:v>
      </x:c>
      <x:c r="H126" s="30" t="str">
        <x:v>n.a.</x:v>
      </x:c>
      <x:c r="I126" s="30" t="str">
        <x:f>IF(COUNT(B126,F126:H126)=4,B126+F126+G126-H126,"n.a.")</x:f>
        <x:v>n.a.</x:v>
      </x:c>
      <x:c r="J126" s="30" t="str">
        <x:v>n.a.</x:v>
      </x:c>
      <x:c r="K126" s="17"/>
      <x:c r="L126" s="17"/>
      <x:c r="M126" s="17"/>
      <x:c r="N126" s="17"/>
    </x:row>
    <x:row r="127" ht="21" customHeight="1">
      <x:c r="A127" s="27" t="d">
        <x:v>2025-10-30T00:00:00.000Z</x:v>
      </x:c>
      <x:c r="B127" s="22" t="n">
        <x:f>SUMIFS('Cash'!$C$5:$C$97,'Cash'!$A$5:$A$97,"&lt;="&amp;A127)</x:f>
        <x:v>42778</x:v>
      </x:c>
      <x:c r="C127" s="22" t="n">
        <x:f>SUMIFS('Cash'!$C$5:$C$97,'Cash'!$A$5:$A$97,A127)</x:f>
        <x:v>0</x:v>
      </x:c>
      <x:c r="D127" s="22" t="n">
        <x:f>SUMIFS('Cash'!$C$5:$C$97,'Cash'!$A$5:$A$97,"&lt;="&amp;A127,'Cash'!$B$5:$B$97,"EXTERNAL_FUNDING")</x:f>
        <x:v>28828550</x:v>
      </x:c>
      <x:c r="E127" s="22" t="n">
        <x:f>SUMIFS('Cash'!$C$5:$C$97,'Cash'!$A$5:$A$97,"&lt;="&amp;A127,'Cash'!$B$5:$B$97,"DIVIDEND_NET")</x:f>
        <x:v>42750</x:v>
      </x:c>
      <x:c r="F127" s="30" t="str">
        <x:v>n.a.</x:v>
      </x:c>
      <x:c r="G127" s="30" t="str">
        <x:v>n.a.</x:v>
      </x:c>
      <x:c r="H127" s="30" t="str">
        <x:v>n.a.</x:v>
      </x:c>
      <x:c r="I127" s="30" t="str">
        <x:f>IF(COUNT(B127,F127:H127)=4,B127+F127+G127-H127,"n.a.")</x:f>
        <x:v>n.a.</x:v>
      </x:c>
      <x:c r="J127" s="30" t="str">
        <x:v>n.a.</x:v>
      </x:c>
      <x:c r="K127" s="17"/>
      <x:c r="L127" s="17"/>
      <x:c r="M127" s="17"/>
      <x:c r="N127" s="17"/>
    </x:row>
    <x:row r="128" ht="21" customHeight="1">
      <x:c r="A128" s="27" t="d">
        <x:v>2025-10-31T00:00:00.000Z</x:v>
      </x:c>
      <x:c r="B128" s="22" t="n">
        <x:f>SUMIFS('Cash'!$C$5:$C$97,'Cash'!$A$5:$A$97,"&lt;="&amp;A128)</x:f>
        <x:v>42638</x:v>
      </x:c>
      <x:c r="C128" s="22" t="n">
        <x:f>SUMIFS('Cash'!$C$5:$C$97,'Cash'!$A$5:$A$97,A128)</x:f>
        <x:v>-140</x:v>
      </x:c>
      <x:c r="D128" s="22" t="n">
        <x:f>SUMIFS('Cash'!$C$5:$C$97,'Cash'!$A$5:$A$97,"&lt;="&amp;A128,'Cash'!$B$5:$B$97,"EXTERNAL_FUNDING")</x:f>
        <x:v>28828550</x:v>
      </x:c>
      <x:c r="E128" s="22" t="n">
        <x:f>SUMIFS('Cash'!$C$5:$C$97,'Cash'!$A$5:$A$97,"&lt;="&amp;A128,'Cash'!$B$5:$B$97,"DIVIDEND_NET")</x:f>
        <x:v>42750</x:v>
      </x:c>
      <x:c r="F128" s="30" t="str">
        <x:v>n.a.</x:v>
      </x:c>
      <x:c r="G128" s="30" t="str">
        <x:v>n.a.</x:v>
      </x:c>
      <x:c r="H128" s="30" t="str">
        <x:v>n.a.</x:v>
      </x:c>
      <x:c r="I128" s="30" t="str">
        <x:f>IF(COUNT(B128,F128:H128)=4,B128+F128+G128-H128,"n.a.")</x:f>
        <x:v>n.a.</x:v>
      </x:c>
      <x:c r="J128" s="30" t="str">
        <x:v>n.a.</x:v>
      </x:c>
      <x:c r="K128" s="17"/>
      <x:c r="L128" s="17"/>
      <x:c r="M128" s="17"/>
      <x:c r="N128" s="17"/>
    </x:row>
    <x:row r="129" ht="21" customHeight="1">
      <x:c r="A129" s="27" t="d">
        <x:v>2025-11-01T00:00:00.000Z</x:v>
      </x:c>
      <x:c r="B129" s="22" t="n">
        <x:f>SUMIFS('Cash'!$C$5:$C$97,'Cash'!$A$5:$A$97,"&lt;="&amp;A129)</x:f>
        <x:v>42638</x:v>
      </x:c>
      <x:c r="C129" s="22" t="n">
        <x:f>SUMIFS('Cash'!$C$5:$C$97,'Cash'!$A$5:$A$97,A129)</x:f>
        <x:v>0</x:v>
      </x:c>
      <x:c r="D129" s="22" t="n">
        <x:f>SUMIFS('Cash'!$C$5:$C$97,'Cash'!$A$5:$A$97,"&lt;="&amp;A129,'Cash'!$B$5:$B$97,"EXTERNAL_FUNDING")</x:f>
        <x:v>28828550</x:v>
      </x:c>
      <x:c r="E129" s="22" t="n">
        <x:f>SUMIFS('Cash'!$C$5:$C$97,'Cash'!$A$5:$A$97,"&lt;="&amp;A129,'Cash'!$B$5:$B$97,"DIVIDEND_NET")</x:f>
        <x:v>42750</x:v>
      </x:c>
      <x:c r="F129" s="30" t="str">
        <x:v>n.a.</x:v>
      </x:c>
      <x:c r="G129" s="30" t="str">
        <x:v>n.a.</x:v>
      </x:c>
      <x:c r="H129" s="30" t="str">
        <x:v>n.a.</x:v>
      </x:c>
      <x:c r="I129" s="30" t="str">
        <x:f>IF(COUNT(B129,F129:H129)=4,B129+F129+G129-H129,"n.a.")</x:f>
        <x:v>n.a.</x:v>
      </x:c>
      <x:c r="J129" s="30" t="str">
        <x:v>n.a.</x:v>
      </x:c>
      <x:c r="K129" s="17"/>
      <x:c r="L129" s="17"/>
      <x:c r="M129" s="17"/>
      <x:c r="N129" s="17"/>
    </x:row>
    <x:row r="130" ht="21" customHeight="1">
      <x:c r="A130" s="27" t="d">
        <x:v>2025-11-02T00:00:00.000Z</x:v>
      </x:c>
      <x:c r="B130" s="22" t="n">
        <x:f>SUMIFS('Cash'!$C$5:$C$97,'Cash'!$A$5:$A$97,"&lt;="&amp;A130)</x:f>
        <x:v>42638</x:v>
      </x:c>
      <x:c r="C130" s="22" t="n">
        <x:f>SUMIFS('Cash'!$C$5:$C$97,'Cash'!$A$5:$A$97,A130)</x:f>
        <x:v>0</x:v>
      </x:c>
      <x:c r="D130" s="22" t="n">
        <x:f>SUMIFS('Cash'!$C$5:$C$97,'Cash'!$A$5:$A$97,"&lt;="&amp;A130,'Cash'!$B$5:$B$97,"EXTERNAL_FUNDING")</x:f>
        <x:v>28828550</x:v>
      </x:c>
      <x:c r="E130" s="22" t="n">
        <x:f>SUMIFS('Cash'!$C$5:$C$97,'Cash'!$A$5:$A$97,"&lt;="&amp;A130,'Cash'!$B$5:$B$97,"DIVIDEND_NET")</x:f>
        <x:v>42750</x:v>
      </x:c>
      <x:c r="F130" s="30" t="str">
        <x:v>n.a.</x:v>
      </x:c>
      <x:c r="G130" s="30" t="str">
        <x:v>n.a.</x:v>
      </x:c>
      <x:c r="H130" s="30" t="str">
        <x:v>n.a.</x:v>
      </x:c>
      <x:c r="I130" s="30" t="str">
        <x:f>IF(COUNT(B130,F130:H130)=4,B130+F130+G130-H130,"n.a.")</x:f>
        <x:v>n.a.</x:v>
      </x:c>
      <x:c r="J130" s="30" t="str">
        <x:v>n.a.</x:v>
      </x:c>
      <x:c r="K130" s="17"/>
      <x:c r="L130" s="17"/>
      <x:c r="M130" s="17"/>
      <x:c r="N130" s="17"/>
    </x:row>
    <x:row r="131" ht="21" customHeight="1">
      <x:c r="A131" s="27" t="d">
        <x:v>2025-11-03T00:00:00.000Z</x:v>
      </x:c>
      <x:c r="B131" s="22" t="n">
        <x:f>SUMIFS('Cash'!$C$5:$C$97,'Cash'!$A$5:$A$97,"&lt;="&amp;A131)</x:f>
        <x:v>42638</x:v>
      </x:c>
      <x:c r="C131" s="22" t="n">
        <x:f>SUMIFS('Cash'!$C$5:$C$97,'Cash'!$A$5:$A$97,A131)</x:f>
        <x:v>0</x:v>
      </x:c>
      <x:c r="D131" s="22" t="n">
        <x:f>SUMIFS('Cash'!$C$5:$C$97,'Cash'!$A$5:$A$97,"&lt;="&amp;A131,'Cash'!$B$5:$B$97,"EXTERNAL_FUNDING")</x:f>
        <x:v>28828550</x:v>
      </x:c>
      <x:c r="E131" s="22" t="n">
        <x:f>SUMIFS('Cash'!$C$5:$C$97,'Cash'!$A$5:$A$97,"&lt;="&amp;A131,'Cash'!$B$5:$B$97,"DIVIDEND_NET")</x:f>
        <x:v>42750</x:v>
      </x:c>
      <x:c r="F131" s="30" t="str">
        <x:v>n.a.</x:v>
      </x:c>
      <x:c r="G131" s="30" t="str">
        <x:v>n.a.</x:v>
      </x:c>
      <x:c r="H131" s="30" t="str">
        <x:v>n.a.</x:v>
      </x:c>
      <x:c r="I131" s="30" t="str">
        <x:f>IF(COUNT(B131,F131:H131)=4,B131+F131+G131-H131,"n.a.")</x:f>
        <x:v>n.a.</x:v>
      </x:c>
      <x:c r="J131" s="30" t="str">
        <x:v>n.a.</x:v>
      </x:c>
      <x:c r="K131" s="17"/>
      <x:c r="L131" s="17"/>
      <x:c r="M131" s="17"/>
      <x:c r="N131" s="17"/>
    </x:row>
    <x:row r="132" ht="21" customHeight="1">
      <x:c r="A132" s="27" t="d">
        <x:v>2025-11-04T00:00:00.000Z</x:v>
      </x:c>
      <x:c r="B132" s="22" t="n">
        <x:f>SUMIFS('Cash'!$C$5:$C$97,'Cash'!$A$5:$A$97,"&lt;="&amp;A132)</x:f>
        <x:v>42638</x:v>
      </x:c>
      <x:c r="C132" s="22" t="n">
        <x:f>SUMIFS('Cash'!$C$5:$C$97,'Cash'!$A$5:$A$97,A132)</x:f>
        <x:v>0</x:v>
      </x:c>
      <x:c r="D132" s="22" t="n">
        <x:f>SUMIFS('Cash'!$C$5:$C$97,'Cash'!$A$5:$A$97,"&lt;="&amp;A132,'Cash'!$B$5:$B$97,"EXTERNAL_FUNDING")</x:f>
        <x:v>28828550</x:v>
      </x:c>
      <x:c r="E132" s="22" t="n">
        <x:f>SUMIFS('Cash'!$C$5:$C$97,'Cash'!$A$5:$A$97,"&lt;="&amp;A132,'Cash'!$B$5:$B$97,"DIVIDEND_NET")</x:f>
        <x:v>42750</x:v>
      </x:c>
      <x:c r="F132" s="30" t="str">
        <x:v>n.a.</x:v>
      </x:c>
      <x:c r="G132" s="30" t="str">
        <x:v>n.a.</x:v>
      </x:c>
      <x:c r="H132" s="30" t="str">
        <x:v>n.a.</x:v>
      </x:c>
      <x:c r="I132" s="30" t="str">
        <x:f>IF(COUNT(B132,F132:H132)=4,B132+F132+G132-H132,"n.a.")</x:f>
        <x:v>n.a.</x:v>
      </x:c>
      <x:c r="J132" s="30" t="str">
        <x:v>n.a.</x:v>
      </x:c>
      <x:c r="K132" s="17"/>
      <x:c r="L132" s="17"/>
      <x:c r="M132" s="17"/>
      <x:c r="N132" s="17"/>
    </x:row>
    <x:row r="133" ht="21" customHeight="1">
      <x:c r="A133" s="27" t="d">
        <x:v>2025-11-05T00:00:00.000Z</x:v>
      </x:c>
      <x:c r="B133" s="22" t="n">
        <x:f>SUMIFS('Cash'!$C$5:$C$97,'Cash'!$A$5:$A$97,"&lt;="&amp;A133)</x:f>
        <x:v>42638</x:v>
      </x:c>
      <x:c r="C133" s="22" t="n">
        <x:f>SUMIFS('Cash'!$C$5:$C$97,'Cash'!$A$5:$A$97,A133)</x:f>
        <x:v>0</x:v>
      </x:c>
      <x:c r="D133" s="22" t="n">
        <x:f>SUMIFS('Cash'!$C$5:$C$97,'Cash'!$A$5:$A$97,"&lt;="&amp;A133,'Cash'!$B$5:$B$97,"EXTERNAL_FUNDING")</x:f>
        <x:v>28828550</x:v>
      </x:c>
      <x:c r="E133" s="22" t="n">
        <x:f>SUMIFS('Cash'!$C$5:$C$97,'Cash'!$A$5:$A$97,"&lt;="&amp;A133,'Cash'!$B$5:$B$97,"DIVIDEND_NET")</x:f>
        <x:v>42750</x:v>
      </x:c>
      <x:c r="F133" s="30" t="str">
        <x:v>n.a.</x:v>
      </x:c>
      <x:c r="G133" s="30" t="str">
        <x:v>n.a.</x:v>
      </x:c>
      <x:c r="H133" s="30" t="str">
        <x:v>n.a.</x:v>
      </x:c>
      <x:c r="I133" s="30" t="str">
        <x:f>IF(COUNT(B133,F133:H133)=4,B133+F133+G133-H133,"n.a.")</x:f>
        <x:v>n.a.</x:v>
      </x:c>
      <x:c r="J133" s="30" t="str">
        <x:v>n.a.</x:v>
      </x:c>
      <x:c r="K133" s="17"/>
      <x:c r="L133" s="17"/>
      <x:c r="M133" s="17"/>
      <x:c r="N133" s="17"/>
    </x:row>
    <x:row r="134" ht="21" customHeight="1">
      <x:c r="A134" s="27" t="d">
        <x:v>2025-11-06T00:00:00.000Z</x:v>
      </x:c>
      <x:c r="B134" s="22" t="n">
        <x:f>SUMIFS('Cash'!$C$5:$C$97,'Cash'!$A$5:$A$97,"&lt;="&amp;A134)</x:f>
        <x:v>42638</x:v>
      </x:c>
      <x:c r="C134" s="22" t="n">
        <x:f>SUMIFS('Cash'!$C$5:$C$97,'Cash'!$A$5:$A$97,A134)</x:f>
        <x:v>0</x:v>
      </x:c>
      <x:c r="D134" s="22" t="n">
        <x:f>SUMIFS('Cash'!$C$5:$C$97,'Cash'!$A$5:$A$97,"&lt;="&amp;A134,'Cash'!$B$5:$B$97,"EXTERNAL_FUNDING")</x:f>
        <x:v>28828550</x:v>
      </x:c>
      <x:c r="E134" s="22" t="n">
        <x:f>SUMIFS('Cash'!$C$5:$C$97,'Cash'!$A$5:$A$97,"&lt;="&amp;A134,'Cash'!$B$5:$B$97,"DIVIDEND_NET")</x:f>
        <x:v>42750</x:v>
      </x:c>
      <x:c r="F134" s="30" t="str">
        <x:v>n.a.</x:v>
      </x:c>
      <x:c r="G134" s="30" t="str">
        <x:v>n.a.</x:v>
      </x:c>
      <x:c r="H134" s="30" t="str">
        <x:v>n.a.</x:v>
      </x:c>
      <x:c r="I134" s="30" t="str">
        <x:f>IF(COUNT(B134,F134:H134)=4,B134+F134+G134-H134,"n.a.")</x:f>
        <x:v>n.a.</x:v>
      </x:c>
      <x:c r="J134" s="30" t="str">
        <x:v>n.a.</x:v>
      </x:c>
      <x:c r="K134" s="17"/>
      <x:c r="L134" s="17"/>
      <x:c r="M134" s="17"/>
      <x:c r="N134" s="17"/>
    </x:row>
    <x:row r="135" ht="21" customHeight="1">
      <x:c r="A135" s="27" t="d">
        <x:v>2025-11-07T00:00:00.000Z</x:v>
      </x:c>
      <x:c r="B135" s="22" t="n">
        <x:f>SUMIFS('Cash'!$C$5:$C$97,'Cash'!$A$5:$A$97,"&lt;="&amp;A135)</x:f>
        <x:v>30</x:v>
      </x:c>
      <x:c r="C135" s="22" t="n">
        <x:f>SUMIFS('Cash'!$C$5:$C$97,'Cash'!$A$5:$A$97,A135)</x:f>
        <x:v>-42608</x:v>
      </x:c>
      <x:c r="D135" s="22" t="n">
        <x:f>SUMIFS('Cash'!$C$5:$C$97,'Cash'!$A$5:$A$97,"&lt;="&amp;A135,'Cash'!$B$5:$B$97,"EXTERNAL_FUNDING")</x:f>
        <x:v>31421732</x:v>
      </x:c>
      <x:c r="E135" s="22" t="n">
        <x:f>SUMIFS('Cash'!$C$5:$C$97,'Cash'!$A$5:$A$97,"&lt;="&amp;A135,'Cash'!$B$5:$B$97,"DIVIDEND_NET")</x:f>
        <x:v>42750</x:v>
      </x:c>
      <x:c r="F135" s="30" t="str">
        <x:v>n.a.</x:v>
      </x:c>
      <x:c r="G135" s="30" t="str">
        <x:v>n.a.</x:v>
      </x:c>
      <x:c r="H135" s="30" t="str">
        <x:v>n.a.</x:v>
      </x:c>
      <x:c r="I135" s="30" t="str">
        <x:f>IF(COUNT(B135,F135:H135)=4,B135+F135+G135-H135,"n.a.")</x:f>
        <x:v>n.a.</x:v>
      </x:c>
      <x:c r="J135" s="30" t="str">
        <x:v>n.a.</x:v>
      </x:c>
      <x:c r="K135" s="17"/>
      <x:c r="L135" s="17"/>
      <x:c r="M135" s="17"/>
      <x:c r="N135" s="17"/>
    </x:row>
    <x:row r="136" ht="21" customHeight="1">
      <x:c r="A136" s="27" t="d">
        <x:v>2025-11-08T00:00:00.000Z</x:v>
      </x:c>
      <x:c r="B136" s="22" t="n">
        <x:f>SUMIFS('Cash'!$C$5:$C$97,'Cash'!$A$5:$A$97,"&lt;="&amp;A136)</x:f>
        <x:v>30</x:v>
      </x:c>
      <x:c r="C136" s="22" t="n">
        <x:f>SUMIFS('Cash'!$C$5:$C$97,'Cash'!$A$5:$A$97,A136)</x:f>
        <x:v>0</x:v>
      </x:c>
      <x:c r="D136" s="22" t="n">
        <x:f>SUMIFS('Cash'!$C$5:$C$97,'Cash'!$A$5:$A$97,"&lt;="&amp;A136,'Cash'!$B$5:$B$97,"EXTERNAL_FUNDING")</x:f>
        <x:v>31421732</x:v>
      </x:c>
      <x:c r="E136" s="22" t="n">
        <x:f>SUMIFS('Cash'!$C$5:$C$97,'Cash'!$A$5:$A$97,"&lt;="&amp;A136,'Cash'!$B$5:$B$97,"DIVIDEND_NET")</x:f>
        <x:v>42750</x:v>
      </x:c>
      <x:c r="F136" s="30" t="str">
        <x:v>n.a.</x:v>
      </x:c>
      <x:c r="G136" s="30" t="str">
        <x:v>n.a.</x:v>
      </x:c>
      <x:c r="H136" s="30" t="str">
        <x:v>n.a.</x:v>
      </x:c>
      <x:c r="I136" s="30" t="str">
        <x:f>IF(COUNT(B136,F136:H136)=4,B136+F136+G136-H136,"n.a.")</x:f>
        <x:v>n.a.</x:v>
      </x:c>
      <x:c r="J136" s="30" t="str">
        <x:v>n.a.</x:v>
      </x:c>
      <x:c r="K136" s="17"/>
      <x:c r="L136" s="17"/>
      <x:c r="M136" s="17"/>
      <x:c r="N136" s="17"/>
    </x:row>
    <x:row r="137" ht="21" customHeight="1">
      <x:c r="A137" s="27" t="d">
        <x:v>2025-11-09T00:00:00.000Z</x:v>
      </x:c>
      <x:c r="B137" s="22" t="n">
        <x:f>SUMIFS('Cash'!$C$5:$C$97,'Cash'!$A$5:$A$97,"&lt;="&amp;A137)</x:f>
        <x:v>30</x:v>
      </x:c>
      <x:c r="C137" s="22" t="n">
        <x:f>SUMIFS('Cash'!$C$5:$C$97,'Cash'!$A$5:$A$97,A137)</x:f>
        <x:v>0</x:v>
      </x:c>
      <x:c r="D137" s="22" t="n">
        <x:f>SUMIFS('Cash'!$C$5:$C$97,'Cash'!$A$5:$A$97,"&lt;="&amp;A137,'Cash'!$B$5:$B$97,"EXTERNAL_FUNDING")</x:f>
        <x:v>31421732</x:v>
      </x:c>
      <x:c r="E137" s="22" t="n">
        <x:f>SUMIFS('Cash'!$C$5:$C$97,'Cash'!$A$5:$A$97,"&lt;="&amp;A137,'Cash'!$B$5:$B$97,"DIVIDEND_NET")</x:f>
        <x:v>42750</x:v>
      </x:c>
      <x:c r="F137" s="30" t="str">
        <x:v>n.a.</x:v>
      </x:c>
      <x:c r="G137" s="30" t="str">
        <x:v>n.a.</x:v>
      </x:c>
      <x:c r="H137" s="30" t="str">
        <x:v>n.a.</x:v>
      </x:c>
      <x:c r="I137" s="30" t="str">
        <x:f>IF(COUNT(B137,F137:H137)=4,B137+F137+G137-H137,"n.a.")</x:f>
        <x:v>n.a.</x:v>
      </x:c>
      <x:c r="J137" s="30" t="str">
        <x:v>n.a.</x:v>
      </x:c>
      <x:c r="K137" s="17"/>
      <x:c r="L137" s="17"/>
      <x:c r="M137" s="17"/>
      <x:c r="N137" s="17"/>
    </x:row>
    <x:row r="138" ht="21" customHeight="1">
      <x:c r="A138" s="27" t="d">
        <x:v>2025-11-10T00:00:00.000Z</x:v>
      </x:c>
      <x:c r="B138" s="22" t="n">
        <x:f>SUMIFS('Cash'!$C$5:$C$97,'Cash'!$A$5:$A$97,"&lt;="&amp;A138)</x:f>
        <x:v>30</x:v>
      </x:c>
      <x:c r="C138" s="22" t="n">
        <x:f>SUMIFS('Cash'!$C$5:$C$97,'Cash'!$A$5:$A$97,A138)</x:f>
        <x:v>0</x:v>
      </x:c>
      <x:c r="D138" s="22" t="n">
        <x:f>SUMIFS('Cash'!$C$5:$C$97,'Cash'!$A$5:$A$97,"&lt;="&amp;A138,'Cash'!$B$5:$B$97,"EXTERNAL_FUNDING")</x:f>
        <x:v>31421732</x:v>
      </x:c>
      <x:c r="E138" s="22" t="n">
        <x:f>SUMIFS('Cash'!$C$5:$C$97,'Cash'!$A$5:$A$97,"&lt;="&amp;A138,'Cash'!$B$5:$B$97,"DIVIDEND_NET")</x:f>
        <x:v>42750</x:v>
      </x:c>
      <x:c r="F138" s="30" t="str">
        <x:v>n.a.</x:v>
      </x:c>
      <x:c r="G138" s="30" t="str">
        <x:v>n.a.</x:v>
      </x:c>
      <x:c r="H138" s="30" t="str">
        <x:v>n.a.</x:v>
      </x:c>
      <x:c r="I138" s="30" t="str">
        <x:f>IF(COUNT(B138,F138:H138)=4,B138+F138+G138-H138,"n.a.")</x:f>
        <x:v>n.a.</x:v>
      </x:c>
      <x:c r="J138" s="30" t="str">
        <x:v>n.a.</x:v>
      </x:c>
      <x:c r="K138" s="17"/>
      <x:c r="L138" s="17"/>
      <x:c r="M138" s="17"/>
      <x:c r="N138" s="17"/>
    </x:row>
    <x:row r="139" ht="21" customHeight="1">
      <x:c r="A139" s="27" t="d">
        <x:v>2025-11-11T00:00:00.000Z</x:v>
      </x:c>
      <x:c r="B139" s="22" t="n">
        <x:f>SUMIFS('Cash'!$C$5:$C$97,'Cash'!$A$5:$A$97,"&lt;="&amp;A139)</x:f>
        <x:v>30</x:v>
      </x:c>
      <x:c r="C139" s="22" t="n">
        <x:f>SUMIFS('Cash'!$C$5:$C$97,'Cash'!$A$5:$A$97,A139)</x:f>
        <x:v>0</x:v>
      </x:c>
      <x:c r="D139" s="22" t="n">
        <x:f>SUMIFS('Cash'!$C$5:$C$97,'Cash'!$A$5:$A$97,"&lt;="&amp;A139,'Cash'!$B$5:$B$97,"EXTERNAL_FUNDING")</x:f>
        <x:v>31421732</x:v>
      </x:c>
      <x:c r="E139" s="22" t="n">
        <x:f>SUMIFS('Cash'!$C$5:$C$97,'Cash'!$A$5:$A$97,"&lt;="&amp;A139,'Cash'!$B$5:$B$97,"DIVIDEND_NET")</x:f>
        <x:v>42750</x:v>
      </x:c>
      <x:c r="F139" s="30" t="str">
        <x:v>n.a.</x:v>
      </x:c>
      <x:c r="G139" s="30" t="str">
        <x:v>n.a.</x:v>
      </x:c>
      <x:c r="H139" s="30" t="str">
        <x:v>n.a.</x:v>
      </x:c>
      <x:c r="I139" s="30" t="str">
        <x:f>IF(COUNT(B139,F139:H139)=4,B139+F139+G139-H139,"n.a.")</x:f>
        <x:v>n.a.</x:v>
      </x:c>
      <x:c r="J139" s="30" t="str">
        <x:v>n.a.</x:v>
      </x:c>
      <x:c r="K139" s="17"/>
      <x:c r="L139" s="17"/>
      <x:c r="M139" s="17"/>
      <x:c r="N139" s="17"/>
    </x:row>
    <x:row r="140" ht="21" customHeight="1">
      <x:c r="A140" s="27" t="d">
        <x:v>2025-11-12T00:00:00.000Z</x:v>
      </x:c>
      <x:c r="B140" s="22" t="n">
        <x:f>SUMIFS('Cash'!$C$5:$C$97,'Cash'!$A$5:$A$97,"&lt;="&amp;A140)</x:f>
        <x:v>56</x:v>
      </x:c>
      <x:c r="C140" s="22" t="n">
        <x:f>SUMIFS('Cash'!$C$5:$C$97,'Cash'!$A$5:$A$97,A140)</x:f>
        <x:v>26</x:v>
      </x:c>
      <x:c r="D140" s="22" t="n">
        <x:f>SUMIFS('Cash'!$C$5:$C$97,'Cash'!$A$5:$A$97,"&lt;="&amp;A140,'Cash'!$B$5:$B$97,"EXTERNAL_FUNDING")</x:f>
        <x:v>31421758</x:v>
      </x:c>
      <x:c r="E140" s="22" t="n">
        <x:f>SUMIFS('Cash'!$C$5:$C$97,'Cash'!$A$5:$A$97,"&lt;="&amp;A140,'Cash'!$B$5:$B$97,"DIVIDEND_NET")</x:f>
        <x:v>42750</x:v>
      </x:c>
      <x:c r="F140" s="30" t="str">
        <x:v>n.a.</x:v>
      </x:c>
      <x:c r="G140" s="30" t="str">
        <x:v>n.a.</x:v>
      </x:c>
      <x:c r="H140" s="30" t="str">
        <x:v>n.a.</x:v>
      </x:c>
      <x:c r="I140" s="30" t="str">
        <x:f>IF(COUNT(B140,F140:H140)=4,B140+F140+G140-H140,"n.a.")</x:f>
        <x:v>n.a.</x:v>
      </x:c>
      <x:c r="J140" s="30" t="str">
        <x:v>n.a.</x:v>
      </x:c>
      <x:c r="K140" s="17"/>
      <x:c r="L140" s="17"/>
      <x:c r="M140" s="17"/>
      <x:c r="N140" s="17"/>
    </x:row>
    <x:row r="141" ht="21" customHeight="1">
      <x:c r="A141" s="27" t="d">
        <x:v>2025-11-13T00:00:00.000Z</x:v>
      </x:c>
      <x:c r="B141" s="22" t="n">
        <x:f>SUMIFS('Cash'!$C$5:$C$97,'Cash'!$A$5:$A$97,"&lt;="&amp;A141)</x:f>
        <x:v>56</x:v>
      </x:c>
      <x:c r="C141" s="22" t="n">
        <x:f>SUMIFS('Cash'!$C$5:$C$97,'Cash'!$A$5:$A$97,A141)</x:f>
        <x:v>0</x:v>
      </x:c>
      <x:c r="D141" s="22" t="n">
        <x:f>SUMIFS('Cash'!$C$5:$C$97,'Cash'!$A$5:$A$97,"&lt;="&amp;A141,'Cash'!$B$5:$B$97,"EXTERNAL_FUNDING")</x:f>
        <x:v>31421758</x:v>
      </x:c>
      <x:c r="E141" s="22" t="n">
        <x:f>SUMIFS('Cash'!$C$5:$C$97,'Cash'!$A$5:$A$97,"&lt;="&amp;A141,'Cash'!$B$5:$B$97,"DIVIDEND_NET")</x:f>
        <x:v>42750</x:v>
      </x:c>
      <x:c r="F141" s="30" t="str">
        <x:v>n.a.</x:v>
      </x:c>
      <x:c r="G141" s="30" t="str">
        <x:v>n.a.</x:v>
      </x:c>
      <x:c r="H141" s="30" t="str">
        <x:v>n.a.</x:v>
      </x:c>
      <x:c r="I141" s="30" t="str">
        <x:f>IF(COUNT(B141,F141:H141)=4,B141+F141+G141-H141,"n.a.")</x:f>
        <x:v>n.a.</x:v>
      </x:c>
      <x:c r="J141" s="30" t="str">
        <x:v>n.a.</x:v>
      </x:c>
      <x:c r="K141" s="17"/>
      <x:c r="L141" s="17"/>
      <x:c r="M141" s="17"/>
      <x:c r="N141" s="17"/>
    </x:row>
    <x:row r="142" ht="21" customHeight="1">
      <x:c r="A142" s="27" t="d">
        <x:v>2025-11-14T00:00:00.000Z</x:v>
      </x:c>
      <x:c r="B142" s="22" t="n">
        <x:f>SUMIFS('Cash'!$C$5:$C$97,'Cash'!$A$5:$A$97,"&lt;="&amp;A142)</x:f>
        <x:v>68</x:v>
      </x:c>
      <x:c r="C142" s="22" t="n">
        <x:f>SUMIFS('Cash'!$C$5:$C$97,'Cash'!$A$5:$A$97,A142)</x:f>
        <x:v>12</x:v>
      </x:c>
      <x:c r="D142" s="22" t="n">
        <x:f>SUMIFS('Cash'!$C$5:$C$97,'Cash'!$A$5:$A$97,"&lt;="&amp;A142,'Cash'!$B$5:$B$97,"EXTERNAL_FUNDING")</x:f>
        <x:v>34922820</x:v>
      </x:c>
      <x:c r="E142" s="22" t="n">
        <x:f>SUMIFS('Cash'!$C$5:$C$97,'Cash'!$A$5:$A$97,"&lt;="&amp;A142,'Cash'!$B$5:$B$97,"DIVIDEND_NET")</x:f>
        <x:v>42750</x:v>
      </x:c>
      <x:c r="F142" s="30" t="str">
        <x:v>n.a.</x:v>
      </x:c>
      <x:c r="G142" s="30" t="str">
        <x:v>n.a.</x:v>
      </x:c>
      <x:c r="H142" s="30" t="str">
        <x:v>n.a.</x:v>
      </x:c>
      <x:c r="I142" s="30" t="str">
        <x:f>IF(COUNT(B142,F142:H142)=4,B142+F142+G142-H142,"n.a.")</x:f>
        <x:v>n.a.</x:v>
      </x:c>
      <x:c r="J142" s="30" t="str">
        <x:v>n.a.</x:v>
      </x:c>
      <x:c r="K142" s="17"/>
      <x:c r="L142" s="17"/>
      <x:c r="M142" s="17"/>
      <x:c r="N142" s="17"/>
    </x:row>
    <x:row r="143" ht="21" customHeight="1">
      <x:c r="A143" s="27" t="d">
        <x:v>2025-11-15T00:00:00.000Z</x:v>
      </x:c>
      <x:c r="B143" s="22" t="n">
        <x:f>SUMIFS('Cash'!$C$5:$C$97,'Cash'!$A$5:$A$97,"&lt;="&amp;A143)</x:f>
        <x:v>68</x:v>
      </x:c>
      <x:c r="C143" s="22" t="n">
        <x:f>SUMIFS('Cash'!$C$5:$C$97,'Cash'!$A$5:$A$97,A143)</x:f>
        <x:v>0</x:v>
      </x:c>
      <x:c r="D143" s="22" t="n">
        <x:f>SUMIFS('Cash'!$C$5:$C$97,'Cash'!$A$5:$A$97,"&lt;="&amp;A143,'Cash'!$B$5:$B$97,"EXTERNAL_FUNDING")</x:f>
        <x:v>34922820</x:v>
      </x:c>
      <x:c r="E143" s="22" t="n">
        <x:f>SUMIFS('Cash'!$C$5:$C$97,'Cash'!$A$5:$A$97,"&lt;="&amp;A143,'Cash'!$B$5:$B$97,"DIVIDEND_NET")</x:f>
        <x:v>42750</x:v>
      </x:c>
      <x:c r="F143" s="30" t="str">
        <x:v>n.a.</x:v>
      </x:c>
      <x:c r="G143" s="30" t="str">
        <x:v>n.a.</x:v>
      </x:c>
      <x:c r="H143" s="30" t="str">
        <x:v>n.a.</x:v>
      </x:c>
      <x:c r="I143" s="30" t="str">
        <x:f>IF(COUNT(B143,F143:H143)=4,B143+F143+G143-H143,"n.a.")</x:f>
        <x:v>n.a.</x:v>
      </x:c>
      <x:c r="J143" s="30" t="str">
        <x:v>n.a.</x:v>
      </x:c>
      <x:c r="K143" s="17"/>
      <x:c r="L143" s="17"/>
      <x:c r="M143" s="17"/>
      <x:c r="N143" s="17"/>
    </x:row>
    <x:row r="144" ht="21" customHeight="1">
      <x:c r="A144" s="27" t="d">
        <x:v>2025-11-16T00:00:00.000Z</x:v>
      </x:c>
      <x:c r="B144" s="22" t="n">
        <x:f>SUMIFS('Cash'!$C$5:$C$97,'Cash'!$A$5:$A$97,"&lt;="&amp;A144)</x:f>
        <x:v>68</x:v>
      </x:c>
      <x:c r="C144" s="22" t="n">
        <x:f>SUMIFS('Cash'!$C$5:$C$97,'Cash'!$A$5:$A$97,A144)</x:f>
        <x:v>0</x:v>
      </x:c>
      <x:c r="D144" s="22" t="n">
        <x:f>SUMIFS('Cash'!$C$5:$C$97,'Cash'!$A$5:$A$97,"&lt;="&amp;A144,'Cash'!$B$5:$B$97,"EXTERNAL_FUNDING")</x:f>
        <x:v>34922820</x:v>
      </x:c>
      <x:c r="E144" s="22" t="n">
        <x:f>SUMIFS('Cash'!$C$5:$C$97,'Cash'!$A$5:$A$97,"&lt;="&amp;A144,'Cash'!$B$5:$B$97,"DIVIDEND_NET")</x:f>
        <x:v>42750</x:v>
      </x:c>
      <x:c r="F144" s="30" t="str">
        <x:v>n.a.</x:v>
      </x:c>
      <x:c r="G144" s="30" t="str">
        <x:v>n.a.</x:v>
      </x:c>
      <x:c r="H144" s="30" t="str">
        <x:v>n.a.</x:v>
      </x:c>
      <x:c r="I144" s="30" t="str">
        <x:f>IF(COUNT(B144,F144:H144)=4,B144+F144+G144-H144,"n.a.")</x:f>
        <x:v>n.a.</x:v>
      </x:c>
      <x:c r="J144" s="30" t="str">
        <x:v>n.a.</x:v>
      </x:c>
      <x:c r="K144" s="17"/>
      <x:c r="L144" s="17"/>
      <x:c r="M144" s="17"/>
      <x:c r="N144" s="17"/>
    </x:row>
    <x:row r="145" ht="21" customHeight="1">
      <x:c r="A145" s="27" t="d">
        <x:v>2025-11-17T00:00:00.000Z</x:v>
      </x:c>
      <x:c r="B145" s="22" t="n">
        <x:f>SUMIFS('Cash'!$C$5:$C$97,'Cash'!$A$5:$A$97,"&lt;="&amp;A145)</x:f>
        <x:v>68</x:v>
      </x:c>
      <x:c r="C145" s="22" t="n">
        <x:f>SUMIFS('Cash'!$C$5:$C$97,'Cash'!$A$5:$A$97,A145)</x:f>
        <x:v>0</x:v>
      </x:c>
      <x:c r="D145" s="22" t="n">
        <x:f>SUMIFS('Cash'!$C$5:$C$97,'Cash'!$A$5:$A$97,"&lt;="&amp;A145,'Cash'!$B$5:$B$97,"EXTERNAL_FUNDING")</x:f>
        <x:v>34922820</x:v>
      </x:c>
      <x:c r="E145" s="22" t="n">
        <x:f>SUMIFS('Cash'!$C$5:$C$97,'Cash'!$A$5:$A$97,"&lt;="&amp;A145,'Cash'!$B$5:$B$97,"DIVIDEND_NET")</x:f>
        <x:v>42750</x:v>
      </x:c>
      <x:c r="F145" s="30" t="str">
        <x:v>n.a.</x:v>
      </x:c>
      <x:c r="G145" s="30" t="str">
        <x:v>n.a.</x:v>
      </x:c>
      <x:c r="H145" s="30" t="str">
        <x:v>n.a.</x:v>
      </x:c>
      <x:c r="I145" s="30" t="str">
        <x:f>IF(COUNT(B145,F145:H145)=4,B145+F145+G145-H145,"n.a.")</x:f>
        <x:v>n.a.</x:v>
      </x:c>
      <x:c r="J145" s="30" t="str">
        <x:v>n.a.</x:v>
      </x:c>
      <x:c r="K145" s="17"/>
      <x:c r="L145" s="17"/>
      <x:c r="M145" s="17"/>
      <x:c r="N145" s="17"/>
    </x:row>
    <x:row r="146" ht="21" customHeight="1">
      <x:c r="A146" s="27" t="d">
        <x:v>2025-11-18T00:00:00.000Z</x:v>
      </x:c>
      <x:c r="B146" s="22" t="n">
        <x:f>SUMIFS('Cash'!$C$5:$C$97,'Cash'!$A$5:$A$97,"&lt;="&amp;A146)</x:f>
        <x:v>68</x:v>
      </x:c>
      <x:c r="C146" s="22" t="n">
        <x:f>SUMIFS('Cash'!$C$5:$C$97,'Cash'!$A$5:$A$97,A146)</x:f>
        <x:v>0</x:v>
      </x:c>
      <x:c r="D146" s="22" t="n">
        <x:f>SUMIFS('Cash'!$C$5:$C$97,'Cash'!$A$5:$A$97,"&lt;="&amp;A146,'Cash'!$B$5:$B$97,"EXTERNAL_FUNDING")</x:f>
        <x:v>34922820</x:v>
      </x:c>
      <x:c r="E146" s="22" t="n">
        <x:f>SUMIFS('Cash'!$C$5:$C$97,'Cash'!$A$5:$A$97,"&lt;="&amp;A146,'Cash'!$B$5:$B$97,"DIVIDEND_NET")</x:f>
        <x:v>42750</x:v>
      </x:c>
      <x:c r="F146" s="30" t="str">
        <x:v>n.a.</x:v>
      </x:c>
      <x:c r="G146" s="30" t="str">
        <x:v>n.a.</x:v>
      </x:c>
      <x:c r="H146" s="30" t="str">
        <x:v>n.a.</x:v>
      </x:c>
      <x:c r="I146" s="30" t="str">
        <x:f>IF(COUNT(B146,F146:H146)=4,B146+F146+G146-H146,"n.a.")</x:f>
        <x:v>n.a.</x:v>
      </x:c>
      <x:c r="J146" s="30" t="str">
        <x:v>n.a.</x:v>
      </x:c>
      <x:c r="K146" s="17"/>
      <x:c r="L146" s="17"/>
      <x:c r="M146" s="17"/>
      <x:c r="N146" s="17"/>
    </x:row>
    <x:row r="147" ht="21" customHeight="1">
      <x:c r="A147" s="27" t="d">
        <x:v>2025-11-19T00:00:00.000Z</x:v>
      </x:c>
      <x:c r="B147" s="22" t="n">
        <x:f>SUMIFS('Cash'!$C$5:$C$97,'Cash'!$A$5:$A$97,"&lt;="&amp;A147)</x:f>
        <x:v>68</x:v>
      </x:c>
      <x:c r="C147" s="22" t="n">
        <x:f>SUMIFS('Cash'!$C$5:$C$97,'Cash'!$A$5:$A$97,A147)</x:f>
        <x:v>0</x:v>
      </x:c>
      <x:c r="D147" s="22" t="n">
        <x:f>SUMIFS('Cash'!$C$5:$C$97,'Cash'!$A$5:$A$97,"&lt;="&amp;A147,'Cash'!$B$5:$B$97,"EXTERNAL_FUNDING")</x:f>
        <x:v>34922820</x:v>
      </x:c>
      <x:c r="E147" s="22" t="n">
        <x:f>SUMIFS('Cash'!$C$5:$C$97,'Cash'!$A$5:$A$97,"&lt;="&amp;A147,'Cash'!$B$5:$B$97,"DIVIDEND_NET")</x:f>
        <x:v>42750</x:v>
      </x:c>
      <x:c r="F147" s="30" t="str">
        <x:v>n.a.</x:v>
      </x:c>
      <x:c r="G147" s="30" t="str">
        <x:v>n.a.</x:v>
      </x:c>
      <x:c r="H147" s="30" t="str">
        <x:v>n.a.</x:v>
      </x:c>
      <x:c r="I147" s="30" t="str">
        <x:f>IF(COUNT(B147,F147:H147)=4,B147+F147+G147-H147,"n.a.")</x:f>
        <x:v>n.a.</x:v>
      </x:c>
      <x:c r="J147" s="30" t="str">
        <x:v>n.a.</x:v>
      </x:c>
      <x:c r="K147" s="17"/>
      <x:c r="L147" s="17"/>
      <x:c r="M147" s="17"/>
      <x:c r="N147" s="17"/>
    </x:row>
    <x:row r="148" ht="21" customHeight="1">
      <x:c r="A148" s="27" t="d">
        <x:v>2025-11-20T00:00:00.000Z</x:v>
      </x:c>
      <x:c r="B148" s="22" t="n">
        <x:f>SUMIFS('Cash'!$C$5:$C$97,'Cash'!$A$5:$A$97,"&lt;="&amp;A148)</x:f>
        <x:v>68</x:v>
      </x:c>
      <x:c r="C148" s="22" t="n">
        <x:f>SUMIFS('Cash'!$C$5:$C$97,'Cash'!$A$5:$A$97,A148)</x:f>
        <x:v>0</x:v>
      </x:c>
      <x:c r="D148" s="22" t="n">
        <x:f>SUMIFS('Cash'!$C$5:$C$97,'Cash'!$A$5:$A$97,"&lt;="&amp;A148,'Cash'!$B$5:$B$97,"EXTERNAL_FUNDING")</x:f>
        <x:v>34922820</x:v>
      </x:c>
      <x:c r="E148" s="22" t="n">
        <x:f>SUMIFS('Cash'!$C$5:$C$97,'Cash'!$A$5:$A$97,"&lt;="&amp;A148,'Cash'!$B$5:$B$97,"DIVIDEND_NET")</x:f>
        <x:v>42750</x:v>
      </x:c>
      <x:c r="F148" s="30" t="str">
        <x:v>n.a.</x:v>
      </x:c>
      <x:c r="G148" s="30" t="str">
        <x:v>n.a.</x:v>
      </x:c>
      <x:c r="H148" s="30" t="str">
        <x:v>n.a.</x:v>
      </x:c>
      <x:c r="I148" s="30" t="str">
        <x:f>IF(COUNT(B148,F148:H148)=4,B148+F148+G148-H148,"n.a.")</x:f>
        <x:v>n.a.</x:v>
      </x:c>
      <x:c r="J148" s="30" t="str">
        <x:v>n.a.</x:v>
      </x:c>
      <x:c r="K148" s="17"/>
      <x:c r="L148" s="17"/>
      <x:c r="M148" s="17"/>
      <x:c r="N148" s="17"/>
    </x:row>
    <x:row r="149" ht="21" customHeight="1">
      <x:c r="A149" s="27" t="d">
        <x:v>2025-11-21T00:00:00.000Z</x:v>
      </x:c>
      <x:c r="B149" s="22" t="n">
        <x:f>SUMIFS('Cash'!$C$5:$C$97,'Cash'!$A$5:$A$97,"&lt;="&amp;A149)</x:f>
        <x:v>68</x:v>
      </x:c>
      <x:c r="C149" s="22" t="n">
        <x:f>SUMIFS('Cash'!$C$5:$C$97,'Cash'!$A$5:$A$97,A149)</x:f>
        <x:v>0</x:v>
      </x:c>
      <x:c r="D149" s="22" t="n">
        <x:f>SUMIFS('Cash'!$C$5:$C$97,'Cash'!$A$5:$A$97,"&lt;="&amp;A149,'Cash'!$B$5:$B$97,"EXTERNAL_FUNDING")</x:f>
        <x:v>34922820</x:v>
      </x:c>
      <x:c r="E149" s="22" t="n">
        <x:f>SUMIFS('Cash'!$C$5:$C$97,'Cash'!$A$5:$A$97,"&lt;="&amp;A149,'Cash'!$B$5:$B$97,"DIVIDEND_NET")</x:f>
        <x:v>42750</x:v>
      </x:c>
      <x:c r="F149" s="30" t="str">
        <x:v>n.a.</x:v>
      </x:c>
      <x:c r="G149" s="30" t="str">
        <x:v>n.a.</x:v>
      </x:c>
      <x:c r="H149" s="30" t="str">
        <x:v>n.a.</x:v>
      </x:c>
      <x:c r="I149" s="30" t="str">
        <x:f>IF(COUNT(B149,F149:H149)=4,B149+F149+G149-H149,"n.a.")</x:f>
        <x:v>n.a.</x:v>
      </x:c>
      <x:c r="J149" s="30" t="str">
        <x:v>n.a.</x:v>
      </x:c>
      <x:c r="K149" s="17"/>
      <x:c r="L149" s="17"/>
      <x:c r="M149" s="17"/>
      <x:c r="N149" s="17"/>
    </x:row>
    <x:row r="150" ht="21" customHeight="1">
      <x:c r="A150" s="27" t="d">
        <x:v>2025-11-22T00:00:00.000Z</x:v>
      </x:c>
      <x:c r="B150" s="22" t="n">
        <x:f>SUMIFS('Cash'!$C$5:$C$97,'Cash'!$A$5:$A$97,"&lt;="&amp;A150)</x:f>
        <x:v>68</x:v>
      </x:c>
      <x:c r="C150" s="22" t="n">
        <x:f>SUMIFS('Cash'!$C$5:$C$97,'Cash'!$A$5:$A$97,A150)</x:f>
        <x:v>0</x:v>
      </x:c>
      <x:c r="D150" s="22" t="n">
        <x:f>SUMIFS('Cash'!$C$5:$C$97,'Cash'!$A$5:$A$97,"&lt;="&amp;A150,'Cash'!$B$5:$B$97,"EXTERNAL_FUNDING")</x:f>
        <x:v>34922820</x:v>
      </x:c>
      <x:c r="E150" s="22" t="n">
        <x:f>SUMIFS('Cash'!$C$5:$C$97,'Cash'!$A$5:$A$97,"&lt;="&amp;A150,'Cash'!$B$5:$B$97,"DIVIDEND_NET")</x:f>
        <x:v>42750</x:v>
      </x:c>
      <x:c r="F150" s="30" t="str">
        <x:v>n.a.</x:v>
      </x:c>
      <x:c r="G150" s="30" t="str">
        <x:v>n.a.</x:v>
      </x:c>
      <x:c r="H150" s="30" t="str">
        <x:v>n.a.</x:v>
      </x:c>
      <x:c r="I150" s="30" t="str">
        <x:f>IF(COUNT(B150,F150:H150)=4,B150+F150+G150-H150,"n.a.")</x:f>
        <x:v>n.a.</x:v>
      </x:c>
      <x:c r="J150" s="30" t="str">
        <x:v>n.a.</x:v>
      </x:c>
      <x:c r="K150" s="17"/>
      <x:c r="L150" s="17"/>
      <x:c r="M150" s="17"/>
      <x:c r="N150" s="17"/>
    </x:row>
    <x:row r="151" ht="21" customHeight="1">
      <x:c r="A151" s="27" t="d">
        <x:v>2025-11-23T00:00:00.000Z</x:v>
      </x:c>
      <x:c r="B151" s="22" t="n">
        <x:f>SUMIFS('Cash'!$C$5:$C$97,'Cash'!$A$5:$A$97,"&lt;="&amp;A151)</x:f>
        <x:v>68</x:v>
      </x:c>
      <x:c r="C151" s="22" t="n">
        <x:f>SUMIFS('Cash'!$C$5:$C$97,'Cash'!$A$5:$A$97,A151)</x:f>
        <x:v>0</x:v>
      </x:c>
      <x:c r="D151" s="22" t="n">
        <x:f>SUMIFS('Cash'!$C$5:$C$97,'Cash'!$A$5:$A$97,"&lt;="&amp;A151,'Cash'!$B$5:$B$97,"EXTERNAL_FUNDING")</x:f>
        <x:v>34922820</x:v>
      </x:c>
      <x:c r="E151" s="22" t="n">
        <x:f>SUMIFS('Cash'!$C$5:$C$97,'Cash'!$A$5:$A$97,"&lt;="&amp;A151,'Cash'!$B$5:$B$97,"DIVIDEND_NET")</x:f>
        <x:v>42750</x:v>
      </x:c>
      <x:c r="F151" s="30" t="str">
        <x:v>n.a.</x:v>
      </x:c>
      <x:c r="G151" s="30" t="str">
        <x:v>n.a.</x:v>
      </x:c>
      <x:c r="H151" s="30" t="str">
        <x:v>n.a.</x:v>
      </x:c>
      <x:c r="I151" s="30" t="str">
        <x:f>IF(COUNT(B151,F151:H151)=4,B151+F151+G151-H151,"n.a.")</x:f>
        <x:v>n.a.</x:v>
      </x:c>
      <x:c r="J151" s="30" t="str">
        <x:v>n.a.</x:v>
      </x:c>
      <x:c r="K151" s="17"/>
      <x:c r="L151" s="17"/>
      <x:c r="M151" s="17"/>
      <x:c r="N151" s="17"/>
    </x:row>
    <x:row r="152" ht="21" customHeight="1">
      <x:c r="A152" s="27" t="d">
        <x:v>2025-11-24T00:00:00.000Z</x:v>
      </x:c>
      <x:c r="B152" s="22" t="n">
        <x:f>SUMIFS('Cash'!$C$5:$C$97,'Cash'!$A$5:$A$97,"&lt;="&amp;A152)</x:f>
        <x:v>68</x:v>
      </x:c>
      <x:c r="C152" s="22" t="n">
        <x:f>SUMIFS('Cash'!$C$5:$C$97,'Cash'!$A$5:$A$97,A152)</x:f>
        <x:v>0</x:v>
      </x:c>
      <x:c r="D152" s="22" t="n">
        <x:f>SUMIFS('Cash'!$C$5:$C$97,'Cash'!$A$5:$A$97,"&lt;="&amp;A152,'Cash'!$B$5:$B$97,"EXTERNAL_FUNDING")</x:f>
        <x:v>34922820</x:v>
      </x:c>
      <x:c r="E152" s="22" t="n">
        <x:f>SUMIFS('Cash'!$C$5:$C$97,'Cash'!$A$5:$A$97,"&lt;="&amp;A152,'Cash'!$B$5:$B$97,"DIVIDEND_NET")</x:f>
        <x:v>42750</x:v>
      </x:c>
      <x:c r="F152" s="30" t="str">
        <x:v>n.a.</x:v>
      </x:c>
      <x:c r="G152" s="30" t="str">
        <x:v>n.a.</x:v>
      </x:c>
      <x:c r="H152" s="30" t="str">
        <x:v>n.a.</x:v>
      </x:c>
      <x:c r="I152" s="30" t="str">
        <x:f>IF(COUNT(B152,F152:H152)=4,B152+F152+G152-H152,"n.a.")</x:f>
        <x:v>n.a.</x:v>
      </x:c>
      <x:c r="J152" s="30" t="str">
        <x:v>n.a.</x:v>
      </x:c>
      <x:c r="K152" s="17"/>
      <x:c r="L152" s="17"/>
      <x:c r="M152" s="17"/>
      <x:c r="N152" s="17"/>
    </x:row>
    <x:row r="153" ht="21" customHeight="1">
      <x:c r="A153" s="27" t="d">
        <x:v>2025-11-25T00:00:00.000Z</x:v>
      </x:c>
      <x:c r="B153" s="22" t="n">
        <x:f>SUMIFS('Cash'!$C$5:$C$97,'Cash'!$A$5:$A$97,"&lt;="&amp;A153)</x:f>
        <x:v>68</x:v>
      </x:c>
      <x:c r="C153" s="22" t="n">
        <x:f>SUMIFS('Cash'!$C$5:$C$97,'Cash'!$A$5:$A$97,A153)</x:f>
        <x:v>0</x:v>
      </x:c>
      <x:c r="D153" s="22" t="n">
        <x:f>SUMIFS('Cash'!$C$5:$C$97,'Cash'!$A$5:$A$97,"&lt;="&amp;A153,'Cash'!$B$5:$B$97,"EXTERNAL_FUNDING")</x:f>
        <x:v>34922820</x:v>
      </x:c>
      <x:c r="E153" s="22" t="n">
        <x:f>SUMIFS('Cash'!$C$5:$C$97,'Cash'!$A$5:$A$97,"&lt;="&amp;A153,'Cash'!$B$5:$B$97,"DIVIDEND_NET")</x:f>
        <x:v>42750</x:v>
      </x:c>
      <x:c r="F153" s="30" t="str">
        <x:v>n.a.</x:v>
      </x:c>
      <x:c r="G153" s="30" t="str">
        <x:v>n.a.</x:v>
      </x:c>
      <x:c r="H153" s="30" t="str">
        <x:v>n.a.</x:v>
      </x:c>
      <x:c r="I153" s="30" t="str">
        <x:f>IF(COUNT(B153,F153:H153)=4,B153+F153+G153-H153,"n.a.")</x:f>
        <x:v>n.a.</x:v>
      </x:c>
      <x:c r="J153" s="30" t="str">
        <x:v>n.a.</x:v>
      </x:c>
      <x:c r="K153" s="17"/>
      <x:c r="L153" s="17"/>
      <x:c r="M153" s="17"/>
      <x:c r="N153" s="17"/>
    </x:row>
    <x:row r="154" ht="21" customHeight="1">
      <x:c r="A154" s="27" t="d">
        <x:v>2025-11-26T00:00:00.000Z</x:v>
      </x:c>
      <x:c r="B154" s="22" t="n">
        <x:f>SUMIFS('Cash'!$C$5:$C$97,'Cash'!$A$5:$A$97,"&lt;="&amp;A154)</x:f>
        <x:v>68</x:v>
      </x:c>
      <x:c r="C154" s="22" t="n">
        <x:f>SUMIFS('Cash'!$C$5:$C$97,'Cash'!$A$5:$A$97,A154)</x:f>
        <x:v>0</x:v>
      </x:c>
      <x:c r="D154" s="22" t="n">
        <x:f>SUMIFS('Cash'!$C$5:$C$97,'Cash'!$A$5:$A$97,"&lt;="&amp;A154,'Cash'!$B$5:$B$97,"EXTERNAL_FUNDING")</x:f>
        <x:v>34922820</x:v>
      </x:c>
      <x:c r="E154" s="22" t="n">
        <x:f>SUMIFS('Cash'!$C$5:$C$97,'Cash'!$A$5:$A$97,"&lt;="&amp;A154,'Cash'!$B$5:$B$97,"DIVIDEND_NET")</x:f>
        <x:v>42750</x:v>
      </x:c>
      <x:c r="F154" s="30" t="str">
        <x:v>n.a.</x:v>
      </x:c>
      <x:c r="G154" s="30" t="str">
        <x:v>n.a.</x:v>
      </x:c>
      <x:c r="H154" s="30" t="str">
        <x:v>n.a.</x:v>
      </x:c>
      <x:c r="I154" s="30" t="str">
        <x:f>IF(COUNT(B154,F154:H154)=4,B154+F154+G154-H154,"n.a.")</x:f>
        <x:v>n.a.</x:v>
      </x:c>
      <x:c r="J154" s="30" t="str">
        <x:v>n.a.</x:v>
      </x:c>
      <x:c r="K154" s="17"/>
      <x:c r="L154" s="17"/>
      <x:c r="M154" s="17"/>
      <x:c r="N154" s="17"/>
    </x:row>
    <x:row r="155" ht="21" customHeight="1">
      <x:c r="A155" s="27" t="d">
        <x:v>2025-11-27T00:00:00.000Z</x:v>
      </x:c>
      <x:c r="B155" s="22" t="n">
        <x:f>SUMIFS('Cash'!$C$5:$C$97,'Cash'!$A$5:$A$97,"&lt;="&amp;A155)</x:f>
        <x:v>68</x:v>
      </x:c>
      <x:c r="C155" s="22" t="n">
        <x:f>SUMIFS('Cash'!$C$5:$C$97,'Cash'!$A$5:$A$97,A155)</x:f>
        <x:v>0</x:v>
      </x:c>
      <x:c r="D155" s="22" t="n">
        <x:f>SUMIFS('Cash'!$C$5:$C$97,'Cash'!$A$5:$A$97,"&lt;="&amp;A155,'Cash'!$B$5:$B$97,"EXTERNAL_FUNDING")</x:f>
        <x:v>34922820</x:v>
      </x:c>
      <x:c r="E155" s="22" t="n">
        <x:f>SUMIFS('Cash'!$C$5:$C$97,'Cash'!$A$5:$A$97,"&lt;="&amp;A155,'Cash'!$B$5:$B$97,"DIVIDEND_NET")</x:f>
        <x:v>42750</x:v>
      </x:c>
      <x:c r="F155" s="30" t="str">
        <x:v>n.a.</x:v>
      </x:c>
      <x:c r="G155" s="30" t="str">
        <x:v>n.a.</x:v>
      </x:c>
      <x:c r="H155" s="30" t="str">
        <x:v>n.a.</x:v>
      </x:c>
      <x:c r="I155" s="30" t="str">
        <x:f>IF(COUNT(B155,F155:H155)=4,B155+F155+G155-H155,"n.a.")</x:f>
        <x:v>n.a.</x:v>
      </x:c>
      <x:c r="J155" s="30" t="str">
        <x:v>n.a.</x:v>
      </x:c>
      <x:c r="K155" s="17"/>
      <x:c r="L155" s="17"/>
      <x:c r="M155" s="17"/>
      <x:c r="N155" s="17"/>
    </x:row>
    <x:row r="156" ht="21" customHeight="1">
      <x:c r="A156" s="27" t="d">
        <x:v>2025-11-28T00:00:00.000Z</x:v>
      </x:c>
      <x:c r="B156" s="22" t="n">
        <x:f>SUMIFS('Cash'!$C$5:$C$97,'Cash'!$A$5:$A$97,"&lt;="&amp;A156)</x:f>
        <x:v>0</x:v>
      </x:c>
      <x:c r="C156" s="22" t="n">
        <x:f>SUMIFS('Cash'!$C$5:$C$97,'Cash'!$A$5:$A$97,A156)</x:f>
        <x:v>-68</x:v>
      </x:c>
      <x:c r="D156" s="22" t="n">
        <x:f>SUMIFS('Cash'!$C$5:$C$97,'Cash'!$A$5:$A$97,"&lt;="&amp;A156,'Cash'!$B$5:$B$97,"EXTERNAL_FUNDING")</x:f>
        <x:v>34922820</x:v>
      </x:c>
      <x:c r="E156" s="22" t="n">
        <x:f>SUMIFS('Cash'!$C$5:$C$97,'Cash'!$A$5:$A$97,"&lt;="&amp;A156,'Cash'!$B$5:$B$97,"DIVIDEND_NET")</x:f>
        <x:v>42750</x:v>
      </x:c>
      <x:c r="F156" s="30" t="str">
        <x:v>n.a.</x:v>
      </x:c>
      <x:c r="G156" s="30" t="str">
        <x:v>n.a.</x:v>
      </x:c>
      <x:c r="H156" s="30" t="str">
        <x:v>n.a.</x:v>
      </x:c>
      <x:c r="I156" s="30" t="str">
        <x:f>IF(COUNT(B156,F156:H156)=4,B156+F156+G156-H156,"n.a.")</x:f>
        <x:v>n.a.</x:v>
      </x:c>
      <x:c r="J156" s="30" t="str">
        <x:v>n.a.</x:v>
      </x:c>
      <x:c r="K156" s="17"/>
      <x:c r="L156" s="17"/>
      <x:c r="M156" s="17"/>
      <x:c r="N156" s="17"/>
    </x:row>
    <x:row r="157" ht="21" customHeight="1">
      <x:c r="A157" s="27" t="d">
        <x:v>2025-11-29T00:00:00.000Z</x:v>
      </x:c>
      <x:c r="B157" s="22" t="n">
        <x:f>SUMIFS('Cash'!$C$5:$C$97,'Cash'!$A$5:$A$97,"&lt;="&amp;A157)</x:f>
        <x:v>0</x:v>
      </x:c>
      <x:c r="C157" s="22" t="n">
        <x:f>SUMIFS('Cash'!$C$5:$C$97,'Cash'!$A$5:$A$97,A157)</x:f>
        <x:v>0</x:v>
      </x:c>
      <x:c r="D157" s="22" t="n">
        <x:f>SUMIFS('Cash'!$C$5:$C$97,'Cash'!$A$5:$A$97,"&lt;="&amp;A157,'Cash'!$B$5:$B$97,"EXTERNAL_FUNDING")</x:f>
        <x:v>34922820</x:v>
      </x:c>
      <x:c r="E157" s="22" t="n">
        <x:f>SUMIFS('Cash'!$C$5:$C$97,'Cash'!$A$5:$A$97,"&lt;="&amp;A157,'Cash'!$B$5:$B$97,"DIVIDEND_NET")</x:f>
        <x:v>42750</x:v>
      </x:c>
      <x:c r="F157" s="30" t="str">
        <x:v>n.a.</x:v>
      </x:c>
      <x:c r="G157" s="30" t="str">
        <x:v>n.a.</x:v>
      </x:c>
      <x:c r="H157" s="30" t="str">
        <x:v>n.a.</x:v>
      </x:c>
      <x:c r="I157" s="30" t="str">
        <x:f>IF(COUNT(B157,F157:H157)=4,B157+F157+G157-H157,"n.a.")</x:f>
        <x:v>n.a.</x:v>
      </x:c>
      <x:c r="J157" s="30" t="str">
        <x:v>n.a.</x:v>
      </x:c>
      <x:c r="K157" s="17"/>
      <x:c r="L157" s="17"/>
      <x:c r="M157" s="17"/>
      <x:c r="N157" s="17"/>
    </x:row>
    <x:row r="158" ht="21" customHeight="1">
      <x:c r="A158" s="27" t="d">
        <x:v>2025-11-30T00:00:00.000Z</x:v>
      </x:c>
      <x:c r="B158" s="22" t="n">
        <x:f>SUMIFS('Cash'!$C$5:$C$97,'Cash'!$A$5:$A$97,"&lt;="&amp;A158)</x:f>
        <x:v>0</x:v>
      </x:c>
      <x:c r="C158" s="22" t="n">
        <x:f>SUMIFS('Cash'!$C$5:$C$97,'Cash'!$A$5:$A$97,A158)</x:f>
        <x:v>0</x:v>
      </x:c>
      <x:c r="D158" s="22" t="n">
        <x:f>SUMIFS('Cash'!$C$5:$C$97,'Cash'!$A$5:$A$97,"&lt;="&amp;A158,'Cash'!$B$5:$B$97,"EXTERNAL_FUNDING")</x:f>
        <x:v>34922820</x:v>
      </x:c>
      <x:c r="E158" s="22" t="n">
        <x:f>SUMIFS('Cash'!$C$5:$C$97,'Cash'!$A$5:$A$97,"&lt;="&amp;A158,'Cash'!$B$5:$B$97,"DIVIDEND_NET")</x:f>
        <x:v>42750</x:v>
      </x:c>
      <x:c r="F158" s="30" t="str">
        <x:v>n.a.</x:v>
      </x:c>
      <x:c r="G158" s="30" t="str">
        <x:v>n.a.</x:v>
      </x:c>
      <x:c r="H158" s="30" t="str">
        <x:v>n.a.</x:v>
      </x:c>
      <x:c r="I158" s="30" t="str">
        <x:f>IF(COUNT(B158,F158:H158)=4,B158+F158+G158-H158,"n.a.")</x:f>
        <x:v>n.a.</x:v>
      </x:c>
      <x:c r="J158" s="30" t="str">
        <x:v>n.a.</x:v>
      </x:c>
      <x:c r="K158" s="17"/>
      <x:c r="L158" s="17"/>
      <x:c r="M158" s="17"/>
      <x:c r="N158" s="17"/>
    </x:row>
    <x:row r="159" ht="21" customHeight="1">
      <x:c r="A159" s="27" t="d">
        <x:v>2025-12-01T00:00:00.000Z</x:v>
      </x:c>
      <x:c r="B159" s="22" t="n">
        <x:f>SUMIFS('Cash'!$C$5:$C$97,'Cash'!$A$5:$A$97,"&lt;="&amp;A159)</x:f>
        <x:v>0</x:v>
      </x:c>
      <x:c r="C159" s="22" t="n">
        <x:f>SUMIFS('Cash'!$C$5:$C$97,'Cash'!$A$5:$A$97,A159)</x:f>
        <x:v>0</x:v>
      </x:c>
      <x:c r="D159" s="22" t="n">
        <x:f>SUMIFS('Cash'!$C$5:$C$97,'Cash'!$A$5:$A$97,"&lt;="&amp;A159,'Cash'!$B$5:$B$97,"EXTERNAL_FUNDING")</x:f>
        <x:v>34922820</x:v>
      </x:c>
      <x:c r="E159" s="22" t="n">
        <x:f>SUMIFS('Cash'!$C$5:$C$97,'Cash'!$A$5:$A$97,"&lt;="&amp;A159,'Cash'!$B$5:$B$97,"DIVIDEND_NET")</x:f>
        <x:v>42750</x:v>
      </x:c>
      <x:c r="F159" s="30" t="str">
        <x:v>n.a.</x:v>
      </x:c>
      <x:c r="G159" s="30" t="str">
        <x:v>n.a.</x:v>
      </x:c>
      <x:c r="H159" s="30" t="str">
        <x:v>n.a.</x:v>
      </x:c>
      <x:c r="I159" s="30" t="str">
        <x:f>IF(COUNT(B159,F159:H159)=4,B159+F159+G159-H159,"n.a.")</x:f>
        <x:v>n.a.</x:v>
      </x:c>
      <x:c r="J159" s="30" t="str">
        <x:v>n.a.</x:v>
      </x:c>
      <x:c r="K159" s="17"/>
      <x:c r="L159" s="17"/>
      <x:c r="M159" s="17"/>
      <x:c r="N159" s="17"/>
    </x:row>
    <x:row r="160" ht="21" customHeight="1">
      <x:c r="A160" s="27" t="d">
        <x:v>2025-12-02T00:00:00.000Z</x:v>
      </x:c>
      <x:c r="B160" s="22" t="n">
        <x:f>SUMIFS('Cash'!$C$5:$C$97,'Cash'!$A$5:$A$97,"&lt;="&amp;A160)</x:f>
        <x:v>0</x:v>
      </x:c>
      <x:c r="C160" s="22" t="n">
        <x:f>SUMIFS('Cash'!$C$5:$C$97,'Cash'!$A$5:$A$97,A160)</x:f>
        <x:v>0</x:v>
      </x:c>
      <x:c r="D160" s="22" t="n">
        <x:f>SUMIFS('Cash'!$C$5:$C$97,'Cash'!$A$5:$A$97,"&lt;="&amp;A160,'Cash'!$B$5:$B$97,"EXTERNAL_FUNDING")</x:f>
        <x:v>34922820</x:v>
      </x:c>
      <x:c r="E160" s="22" t="n">
        <x:f>SUMIFS('Cash'!$C$5:$C$97,'Cash'!$A$5:$A$97,"&lt;="&amp;A160,'Cash'!$B$5:$B$97,"DIVIDEND_NET")</x:f>
        <x:v>42750</x:v>
      </x:c>
      <x:c r="F160" s="30" t="str">
        <x:v>n.a.</x:v>
      </x:c>
      <x:c r="G160" s="30" t="str">
        <x:v>n.a.</x:v>
      </x:c>
      <x:c r="H160" s="30" t="str">
        <x:v>n.a.</x:v>
      </x:c>
      <x:c r="I160" s="30" t="str">
        <x:f>IF(COUNT(B160,F160:H160)=4,B160+F160+G160-H160,"n.a.")</x:f>
        <x:v>n.a.</x:v>
      </x:c>
      <x:c r="J160" s="30" t="str">
        <x:v>n.a.</x:v>
      </x:c>
      <x:c r="K160" s="17"/>
      <x:c r="L160" s="17"/>
      <x:c r="M160" s="17"/>
      <x:c r="N160" s="17"/>
    </x:row>
    <x:row r="161" ht="21" customHeight="1">
      <x:c r="A161" s="27" t="d">
        <x:v>2025-12-03T00:00:00.000Z</x:v>
      </x:c>
      <x:c r="B161" s="22" t="n">
        <x:f>SUMIFS('Cash'!$C$5:$C$97,'Cash'!$A$5:$A$97,"&lt;="&amp;A161)</x:f>
        <x:v>0</x:v>
      </x:c>
      <x:c r="C161" s="22" t="n">
        <x:f>SUMIFS('Cash'!$C$5:$C$97,'Cash'!$A$5:$A$97,A161)</x:f>
        <x:v>0</x:v>
      </x:c>
      <x:c r="D161" s="22" t="n">
        <x:f>SUMIFS('Cash'!$C$5:$C$97,'Cash'!$A$5:$A$97,"&lt;="&amp;A161,'Cash'!$B$5:$B$97,"EXTERNAL_FUNDING")</x:f>
        <x:v>34922820</x:v>
      </x:c>
      <x:c r="E161" s="22" t="n">
        <x:f>SUMIFS('Cash'!$C$5:$C$97,'Cash'!$A$5:$A$97,"&lt;="&amp;A161,'Cash'!$B$5:$B$97,"DIVIDEND_NET")</x:f>
        <x:v>42750</x:v>
      </x:c>
      <x:c r="F161" s="30" t="str">
        <x:v>n.a.</x:v>
      </x:c>
      <x:c r="G161" s="30" t="str">
        <x:v>n.a.</x:v>
      </x:c>
      <x:c r="H161" s="30" t="str">
        <x:v>n.a.</x:v>
      </x:c>
      <x:c r="I161" s="30" t="str">
        <x:f>IF(COUNT(B161,F161:H161)=4,B161+F161+G161-H161,"n.a.")</x:f>
        <x:v>n.a.</x:v>
      </x:c>
      <x:c r="J161" s="30" t="str">
        <x:v>n.a.</x:v>
      </x:c>
      <x:c r="K161" s="17"/>
      <x:c r="L161" s="17"/>
      <x:c r="M161" s="17"/>
      <x:c r="N161" s="17"/>
    </x:row>
    <x:row r="162" ht="21" customHeight="1">
      <x:c r="A162" s="27" t="d">
        <x:v>2025-12-04T00:00:00.000Z</x:v>
      </x:c>
      <x:c r="B162" s="22" t="n">
        <x:f>SUMIFS('Cash'!$C$5:$C$97,'Cash'!$A$5:$A$97,"&lt;="&amp;A162)</x:f>
        <x:v>0</x:v>
      </x:c>
      <x:c r="C162" s="22" t="n">
        <x:f>SUMIFS('Cash'!$C$5:$C$97,'Cash'!$A$5:$A$97,A162)</x:f>
        <x:v>0</x:v>
      </x:c>
      <x:c r="D162" s="22" t="n">
        <x:f>SUMIFS('Cash'!$C$5:$C$97,'Cash'!$A$5:$A$97,"&lt;="&amp;A162,'Cash'!$B$5:$B$97,"EXTERNAL_FUNDING")</x:f>
        <x:v>34922820</x:v>
      </x:c>
      <x:c r="E162" s="22" t="n">
        <x:f>SUMIFS('Cash'!$C$5:$C$97,'Cash'!$A$5:$A$97,"&lt;="&amp;A162,'Cash'!$B$5:$B$97,"DIVIDEND_NET")</x:f>
        <x:v>42750</x:v>
      </x:c>
      <x:c r="F162" s="30" t="str">
        <x:v>n.a.</x:v>
      </x:c>
      <x:c r="G162" s="30" t="str">
        <x:v>n.a.</x:v>
      </x:c>
      <x:c r="H162" s="30" t="str">
        <x:v>n.a.</x:v>
      </x:c>
      <x:c r="I162" s="30" t="str">
        <x:f>IF(COUNT(B162,F162:H162)=4,B162+F162+G162-H162,"n.a.")</x:f>
        <x:v>n.a.</x:v>
      </x:c>
      <x:c r="J162" s="30" t="str">
        <x:v>n.a.</x:v>
      </x:c>
      <x:c r="K162" s="17"/>
      <x:c r="L162" s="17"/>
      <x:c r="M162" s="17"/>
      <x:c r="N162" s="17"/>
    </x:row>
    <x:row r="163" ht="21" customHeight="1">
      <x:c r="A163" s="27" t="d">
        <x:v>2025-12-05T00:00:00.000Z</x:v>
      </x:c>
      <x:c r="B163" s="22" t="n">
        <x:f>SUMIFS('Cash'!$C$5:$C$97,'Cash'!$A$5:$A$97,"&lt;="&amp;A163)</x:f>
        <x:v>0</x:v>
      </x:c>
      <x:c r="C163" s="22" t="n">
        <x:f>SUMIFS('Cash'!$C$5:$C$97,'Cash'!$A$5:$A$97,A163)</x:f>
        <x:v>0</x:v>
      </x:c>
      <x:c r="D163" s="22" t="n">
        <x:f>SUMIFS('Cash'!$C$5:$C$97,'Cash'!$A$5:$A$97,"&lt;="&amp;A163,'Cash'!$B$5:$B$97,"EXTERNAL_FUNDING")</x:f>
        <x:v>34922820</x:v>
      </x:c>
      <x:c r="E163" s="22" t="n">
        <x:f>SUMIFS('Cash'!$C$5:$C$97,'Cash'!$A$5:$A$97,"&lt;="&amp;A163,'Cash'!$B$5:$B$97,"DIVIDEND_NET")</x:f>
        <x:v>42750</x:v>
      </x:c>
      <x:c r="F163" s="30" t="str">
        <x:v>n.a.</x:v>
      </x:c>
      <x:c r="G163" s="30" t="str">
        <x:v>n.a.</x:v>
      </x:c>
      <x:c r="H163" s="30" t="str">
        <x:v>n.a.</x:v>
      </x:c>
      <x:c r="I163" s="30" t="str">
        <x:f>IF(COUNT(B163,F163:H163)=4,B163+F163+G163-H163,"n.a.")</x:f>
        <x:v>n.a.</x:v>
      </x:c>
      <x:c r="J163" s="30" t="str">
        <x:v>n.a.</x:v>
      </x:c>
      <x:c r="K163" s="17"/>
      <x:c r="L163" s="17"/>
      <x:c r="M163" s="17"/>
      <x:c r="N163" s="17"/>
    </x:row>
    <x:row r="164" ht="21" customHeight="1">
      <x:c r="A164" s="27" t="d">
        <x:v>2025-12-06T00:00:00.000Z</x:v>
      </x:c>
      <x:c r="B164" s="22" t="n">
        <x:f>SUMIFS('Cash'!$C$5:$C$97,'Cash'!$A$5:$A$97,"&lt;="&amp;A164)</x:f>
        <x:v>0</x:v>
      </x:c>
      <x:c r="C164" s="22" t="n">
        <x:f>SUMIFS('Cash'!$C$5:$C$97,'Cash'!$A$5:$A$97,A164)</x:f>
        <x:v>0</x:v>
      </x:c>
      <x:c r="D164" s="22" t="n">
        <x:f>SUMIFS('Cash'!$C$5:$C$97,'Cash'!$A$5:$A$97,"&lt;="&amp;A164,'Cash'!$B$5:$B$97,"EXTERNAL_FUNDING")</x:f>
        <x:v>34922820</x:v>
      </x:c>
      <x:c r="E164" s="22" t="n">
        <x:f>SUMIFS('Cash'!$C$5:$C$97,'Cash'!$A$5:$A$97,"&lt;="&amp;A164,'Cash'!$B$5:$B$97,"DIVIDEND_NET")</x:f>
        <x:v>42750</x:v>
      </x:c>
      <x:c r="F164" s="30" t="str">
        <x:v>n.a.</x:v>
      </x:c>
      <x:c r="G164" s="30" t="str">
        <x:v>n.a.</x:v>
      </x:c>
      <x:c r="H164" s="30" t="str">
        <x:v>n.a.</x:v>
      </x:c>
      <x:c r="I164" s="30" t="str">
        <x:f>IF(COUNT(B164,F164:H164)=4,B164+F164+G164-H164,"n.a.")</x:f>
        <x:v>n.a.</x:v>
      </x:c>
      <x:c r="J164" s="30" t="str">
        <x:v>n.a.</x:v>
      </x:c>
      <x:c r="K164" s="17"/>
      <x:c r="L164" s="17"/>
      <x:c r="M164" s="17"/>
      <x:c r="N164" s="17"/>
    </x:row>
    <x:row r="165" ht="21" customHeight="1">
      <x:c r="A165" s="27" t="d">
        <x:v>2025-12-07T00:00:00.000Z</x:v>
      </x:c>
      <x:c r="B165" s="22" t="n">
        <x:f>SUMIFS('Cash'!$C$5:$C$97,'Cash'!$A$5:$A$97,"&lt;="&amp;A165)</x:f>
        <x:v>0</x:v>
      </x:c>
      <x:c r="C165" s="22" t="n">
        <x:f>SUMIFS('Cash'!$C$5:$C$97,'Cash'!$A$5:$A$97,A165)</x:f>
        <x:v>0</x:v>
      </x:c>
      <x:c r="D165" s="22" t="n">
        <x:f>SUMIFS('Cash'!$C$5:$C$97,'Cash'!$A$5:$A$97,"&lt;="&amp;A165,'Cash'!$B$5:$B$97,"EXTERNAL_FUNDING")</x:f>
        <x:v>34922820</x:v>
      </x:c>
      <x:c r="E165" s="22" t="n">
        <x:f>SUMIFS('Cash'!$C$5:$C$97,'Cash'!$A$5:$A$97,"&lt;="&amp;A165,'Cash'!$B$5:$B$97,"DIVIDEND_NET")</x:f>
        <x:v>42750</x:v>
      </x:c>
      <x:c r="F165" s="30" t="str">
        <x:v>n.a.</x:v>
      </x:c>
      <x:c r="G165" s="30" t="str">
        <x:v>n.a.</x:v>
      </x:c>
      <x:c r="H165" s="30" t="str">
        <x:v>n.a.</x:v>
      </x:c>
      <x:c r="I165" s="30" t="str">
        <x:f>IF(COUNT(B165,F165:H165)=4,B165+F165+G165-H165,"n.a.")</x:f>
        <x:v>n.a.</x:v>
      </x:c>
      <x:c r="J165" s="30" t="str">
        <x:v>n.a.</x:v>
      </x:c>
      <x:c r="K165" s="17"/>
      <x:c r="L165" s="17"/>
      <x:c r="M165" s="17"/>
      <x:c r="N165" s="17"/>
    </x:row>
    <x:row r="166" ht="21" customHeight="1">
      <x:c r="A166" s="27" t="d">
        <x:v>2025-12-08T00:00:00.000Z</x:v>
      </x:c>
      <x:c r="B166" s="22" t="n">
        <x:f>SUMIFS('Cash'!$C$5:$C$97,'Cash'!$A$5:$A$97,"&lt;="&amp;A166)</x:f>
        <x:v>0</x:v>
      </x:c>
      <x:c r="C166" s="22" t="n">
        <x:f>SUMIFS('Cash'!$C$5:$C$97,'Cash'!$A$5:$A$97,A166)</x:f>
        <x:v>0</x:v>
      </x:c>
      <x:c r="D166" s="22" t="n">
        <x:f>SUMIFS('Cash'!$C$5:$C$97,'Cash'!$A$5:$A$97,"&lt;="&amp;A166,'Cash'!$B$5:$B$97,"EXTERNAL_FUNDING")</x:f>
        <x:v>34922820</x:v>
      </x:c>
      <x:c r="E166" s="22" t="n">
        <x:f>SUMIFS('Cash'!$C$5:$C$97,'Cash'!$A$5:$A$97,"&lt;="&amp;A166,'Cash'!$B$5:$B$97,"DIVIDEND_NET")</x:f>
        <x:v>42750</x:v>
      </x:c>
      <x:c r="F166" s="30" t="str">
        <x:v>n.a.</x:v>
      </x:c>
      <x:c r="G166" s="30" t="str">
        <x:v>n.a.</x:v>
      </x:c>
      <x:c r="H166" s="30" t="str">
        <x:v>n.a.</x:v>
      </x:c>
      <x:c r="I166" s="30" t="str">
        <x:f>IF(COUNT(B166,F166:H166)=4,B166+F166+G166-H166,"n.a.")</x:f>
        <x:v>n.a.</x:v>
      </x:c>
      <x:c r="J166" s="30" t="str">
        <x:v>n.a.</x:v>
      </x:c>
      <x:c r="K166" s="17"/>
      <x:c r="L166" s="17"/>
      <x:c r="M166" s="17"/>
      <x:c r="N166" s="17"/>
    </x:row>
    <x:row r="167" ht="21" customHeight="1">
      <x:c r="A167" s="27" t="d">
        <x:v>2025-12-09T00:00:00.000Z</x:v>
      </x:c>
      <x:c r="B167" s="22" t="n">
        <x:f>SUMIFS('Cash'!$C$5:$C$97,'Cash'!$A$5:$A$97,"&lt;="&amp;A167)</x:f>
        <x:v>0</x:v>
      </x:c>
      <x:c r="C167" s="22" t="n">
        <x:f>SUMIFS('Cash'!$C$5:$C$97,'Cash'!$A$5:$A$97,A167)</x:f>
        <x:v>0</x:v>
      </x:c>
      <x:c r="D167" s="22" t="n">
        <x:f>SUMIFS('Cash'!$C$5:$C$97,'Cash'!$A$5:$A$97,"&lt;="&amp;A167,'Cash'!$B$5:$B$97,"EXTERNAL_FUNDING")</x:f>
        <x:v>34922820</x:v>
      </x:c>
      <x:c r="E167" s="22" t="n">
        <x:f>SUMIFS('Cash'!$C$5:$C$97,'Cash'!$A$5:$A$97,"&lt;="&amp;A167,'Cash'!$B$5:$B$97,"DIVIDEND_NET")</x:f>
        <x:v>42750</x:v>
      </x:c>
      <x:c r="F167" s="30" t="str">
        <x:v>n.a.</x:v>
      </x:c>
      <x:c r="G167" s="30" t="str">
        <x:v>n.a.</x:v>
      </x:c>
      <x:c r="H167" s="30" t="str">
        <x:v>n.a.</x:v>
      </x:c>
      <x:c r="I167" s="30" t="str">
        <x:f>IF(COUNT(B167,F167:H167)=4,B167+F167+G167-H167,"n.a.")</x:f>
        <x:v>n.a.</x:v>
      </x:c>
      <x:c r="J167" s="30" t="str">
        <x:v>n.a.</x:v>
      </x:c>
      <x:c r="K167" s="17"/>
      <x:c r="L167" s="17"/>
      <x:c r="M167" s="17"/>
      <x:c r="N167" s="17"/>
    </x:row>
    <x:row r="168" ht="21" customHeight="1">
      <x:c r="A168" s="27" t="d">
        <x:v>2025-12-10T00:00:00.000Z</x:v>
      </x:c>
      <x:c r="B168" s="22" t="n">
        <x:f>SUMIFS('Cash'!$C$5:$C$97,'Cash'!$A$5:$A$97,"&lt;="&amp;A168)</x:f>
        <x:v>0</x:v>
      </x:c>
      <x:c r="C168" s="22" t="n">
        <x:f>SUMIFS('Cash'!$C$5:$C$97,'Cash'!$A$5:$A$97,A168)</x:f>
        <x:v>0</x:v>
      </x:c>
      <x:c r="D168" s="22" t="n">
        <x:f>SUMIFS('Cash'!$C$5:$C$97,'Cash'!$A$5:$A$97,"&lt;="&amp;A168,'Cash'!$B$5:$B$97,"EXTERNAL_FUNDING")</x:f>
        <x:v>34922820</x:v>
      </x:c>
      <x:c r="E168" s="22" t="n">
        <x:f>SUMIFS('Cash'!$C$5:$C$97,'Cash'!$A$5:$A$97,"&lt;="&amp;A168,'Cash'!$B$5:$B$97,"DIVIDEND_NET")</x:f>
        <x:v>42750</x:v>
      </x:c>
      <x:c r="F168" s="30" t="str">
        <x:v>n.a.</x:v>
      </x:c>
      <x:c r="G168" s="30" t="str">
        <x:v>n.a.</x:v>
      </x:c>
      <x:c r="H168" s="30" t="str">
        <x:v>n.a.</x:v>
      </x:c>
      <x:c r="I168" s="30" t="str">
        <x:f>IF(COUNT(B168,F168:H168)=4,B168+F168+G168-H168,"n.a.")</x:f>
        <x:v>n.a.</x:v>
      </x:c>
      <x:c r="J168" s="30" t="str">
        <x:v>n.a.</x:v>
      </x:c>
      <x:c r="K168" s="17"/>
      <x:c r="L168" s="17"/>
      <x:c r="M168" s="17"/>
      <x:c r="N168" s="17"/>
    </x:row>
    <x:row r="169" ht="21" customHeight="1">
      <x:c r="A169" s="27" t="d">
        <x:v>2025-12-11T00:00:00.000Z</x:v>
      </x:c>
      <x:c r="B169" s="22" t="n">
        <x:f>SUMIFS('Cash'!$C$5:$C$97,'Cash'!$A$5:$A$97,"&lt;="&amp;A169)</x:f>
        <x:v>0</x:v>
      </x:c>
      <x:c r="C169" s="22" t="n">
        <x:f>SUMIFS('Cash'!$C$5:$C$97,'Cash'!$A$5:$A$97,A169)</x:f>
        <x:v>0</x:v>
      </x:c>
      <x:c r="D169" s="22" t="n">
        <x:f>SUMIFS('Cash'!$C$5:$C$97,'Cash'!$A$5:$A$97,"&lt;="&amp;A169,'Cash'!$B$5:$B$97,"EXTERNAL_FUNDING")</x:f>
        <x:v>34922820</x:v>
      </x:c>
      <x:c r="E169" s="22" t="n">
        <x:f>SUMIFS('Cash'!$C$5:$C$97,'Cash'!$A$5:$A$97,"&lt;="&amp;A169,'Cash'!$B$5:$B$97,"DIVIDEND_NET")</x:f>
        <x:v>42750</x:v>
      </x:c>
      <x:c r="F169" s="30" t="str">
        <x:v>n.a.</x:v>
      </x:c>
      <x:c r="G169" s="30" t="str">
        <x:v>n.a.</x:v>
      </x:c>
      <x:c r="H169" s="30" t="str">
        <x:v>n.a.</x:v>
      </x:c>
      <x:c r="I169" s="30" t="str">
        <x:f>IF(COUNT(B169,F169:H169)=4,B169+F169+G169-H169,"n.a.")</x:f>
        <x:v>n.a.</x:v>
      </x:c>
      <x:c r="J169" s="30" t="str">
        <x:v>n.a.</x:v>
      </x:c>
      <x:c r="K169" s="17"/>
      <x:c r="L169" s="17"/>
      <x:c r="M169" s="17"/>
      <x:c r="N169" s="17"/>
    </x:row>
    <x:row r="170" ht="21" customHeight="1">
      <x:c r="A170" s="27" t="d">
        <x:v>2025-12-12T00:00:00.000Z</x:v>
      </x:c>
      <x:c r="B170" s="22" t="n">
        <x:f>SUMIFS('Cash'!$C$5:$C$97,'Cash'!$A$5:$A$97,"&lt;="&amp;A170)</x:f>
        <x:v>94891</x:v>
      </x:c>
      <x:c r="C170" s="22" t="n">
        <x:f>SUMIFS('Cash'!$C$5:$C$97,'Cash'!$A$5:$A$97,A170)</x:f>
        <x:v>94891</x:v>
      </x:c>
      <x:c r="D170" s="22" t="n">
        <x:f>SUMIFS('Cash'!$C$5:$C$97,'Cash'!$A$5:$A$97,"&lt;="&amp;A170,'Cash'!$B$5:$B$97,"EXTERNAL_FUNDING")</x:f>
        <x:v>34922820</x:v>
      </x:c>
      <x:c r="E170" s="22" t="n">
        <x:f>SUMIFS('Cash'!$C$5:$C$97,'Cash'!$A$5:$A$97,"&lt;="&amp;A170,'Cash'!$B$5:$B$97,"DIVIDEND_NET")</x:f>
        <x:v>137750</x:v>
      </x:c>
      <x:c r="F170" s="30" t="str">
        <x:v>n.a.</x:v>
      </x:c>
      <x:c r="G170" s="30" t="str">
        <x:v>n.a.</x:v>
      </x:c>
      <x:c r="H170" s="30" t="str">
        <x:v>n.a.</x:v>
      </x:c>
      <x:c r="I170" s="30" t="str">
        <x:f>IF(COUNT(B170,F170:H170)=4,B170+F170+G170-H170,"n.a.")</x:f>
        <x:v>n.a.</x:v>
      </x:c>
      <x:c r="J170" s="30" t="str">
        <x:v>n.a.</x:v>
      </x:c>
      <x:c r="K170" s="17"/>
      <x:c r="L170" s="17"/>
      <x:c r="M170" s="17"/>
      <x:c r="N170" s="17"/>
    </x:row>
    <x:row r="171" ht="21" customHeight="1">
      <x:c r="A171" s="27" t="d">
        <x:v>2025-12-13T00:00:00.000Z</x:v>
      </x:c>
      <x:c r="B171" s="22" t="n">
        <x:f>SUMIFS('Cash'!$C$5:$C$97,'Cash'!$A$5:$A$97,"&lt;="&amp;A171)</x:f>
        <x:v>94891</x:v>
      </x:c>
      <x:c r="C171" s="22" t="n">
        <x:f>SUMIFS('Cash'!$C$5:$C$97,'Cash'!$A$5:$A$97,A171)</x:f>
        <x:v>0</x:v>
      </x:c>
      <x:c r="D171" s="22" t="n">
        <x:f>SUMIFS('Cash'!$C$5:$C$97,'Cash'!$A$5:$A$97,"&lt;="&amp;A171,'Cash'!$B$5:$B$97,"EXTERNAL_FUNDING")</x:f>
        <x:v>34922820</x:v>
      </x:c>
      <x:c r="E171" s="22" t="n">
        <x:f>SUMIFS('Cash'!$C$5:$C$97,'Cash'!$A$5:$A$97,"&lt;="&amp;A171,'Cash'!$B$5:$B$97,"DIVIDEND_NET")</x:f>
        <x:v>137750</x:v>
      </x:c>
      <x:c r="F171" s="30" t="str">
        <x:v>n.a.</x:v>
      </x:c>
      <x:c r="G171" s="30" t="str">
        <x:v>n.a.</x:v>
      </x:c>
      <x:c r="H171" s="30" t="str">
        <x:v>n.a.</x:v>
      </x:c>
      <x:c r="I171" s="30" t="str">
        <x:f>IF(COUNT(B171,F171:H171)=4,B171+F171+G171-H171,"n.a.")</x:f>
        <x:v>n.a.</x:v>
      </x:c>
      <x:c r="J171" s="30" t="str">
        <x:v>n.a.</x:v>
      </x:c>
      <x:c r="K171" s="17"/>
      <x:c r="L171" s="17"/>
      <x:c r="M171" s="17"/>
      <x:c r="N171" s="17"/>
    </x:row>
    <x:row r="172" ht="21" customHeight="1">
      <x:c r="A172" s="27" t="d">
        <x:v>2025-12-14T00:00:00.000Z</x:v>
      </x:c>
      <x:c r="B172" s="22" t="n">
        <x:f>SUMIFS('Cash'!$C$5:$C$97,'Cash'!$A$5:$A$97,"&lt;="&amp;A172)</x:f>
        <x:v>94891</x:v>
      </x:c>
      <x:c r="C172" s="22" t="n">
        <x:f>SUMIFS('Cash'!$C$5:$C$97,'Cash'!$A$5:$A$97,A172)</x:f>
        <x:v>0</x:v>
      </x:c>
      <x:c r="D172" s="22" t="n">
        <x:f>SUMIFS('Cash'!$C$5:$C$97,'Cash'!$A$5:$A$97,"&lt;="&amp;A172,'Cash'!$B$5:$B$97,"EXTERNAL_FUNDING")</x:f>
        <x:v>34922820</x:v>
      </x:c>
      <x:c r="E172" s="22" t="n">
        <x:f>SUMIFS('Cash'!$C$5:$C$97,'Cash'!$A$5:$A$97,"&lt;="&amp;A172,'Cash'!$B$5:$B$97,"DIVIDEND_NET")</x:f>
        <x:v>137750</x:v>
      </x:c>
      <x:c r="F172" s="30" t="str">
        <x:v>n.a.</x:v>
      </x:c>
      <x:c r="G172" s="30" t="str">
        <x:v>n.a.</x:v>
      </x:c>
      <x:c r="H172" s="30" t="str">
        <x:v>n.a.</x:v>
      </x:c>
      <x:c r="I172" s="30" t="str">
        <x:f>IF(COUNT(B172,F172:H172)=4,B172+F172+G172-H172,"n.a.")</x:f>
        <x:v>n.a.</x:v>
      </x:c>
      <x:c r="J172" s="30" t="str">
        <x:v>n.a.</x:v>
      </x:c>
      <x:c r="K172" s="17"/>
      <x:c r="L172" s="17"/>
      <x:c r="M172" s="17"/>
      <x:c r="N172" s="17"/>
    </x:row>
    <x:row r="173" ht="21" customHeight="1">
      <x:c r="A173" s="27" t="d">
        <x:v>2025-12-15T00:00:00.000Z</x:v>
      </x:c>
      <x:c r="B173" s="22" t="n">
        <x:f>SUMIFS('Cash'!$C$5:$C$97,'Cash'!$A$5:$A$97,"&lt;="&amp;A173)</x:f>
        <x:v>94891</x:v>
      </x:c>
      <x:c r="C173" s="22" t="n">
        <x:f>SUMIFS('Cash'!$C$5:$C$97,'Cash'!$A$5:$A$97,A173)</x:f>
        <x:v>0</x:v>
      </x:c>
      <x:c r="D173" s="22" t="n">
        <x:f>SUMIFS('Cash'!$C$5:$C$97,'Cash'!$A$5:$A$97,"&lt;="&amp;A173,'Cash'!$B$5:$B$97,"EXTERNAL_FUNDING")</x:f>
        <x:v>34922820</x:v>
      </x:c>
      <x:c r="E173" s="22" t="n">
        <x:f>SUMIFS('Cash'!$C$5:$C$97,'Cash'!$A$5:$A$97,"&lt;="&amp;A173,'Cash'!$B$5:$B$97,"DIVIDEND_NET")</x:f>
        <x:v>137750</x:v>
      </x:c>
      <x:c r="F173" s="30" t="str">
        <x:v>n.a.</x:v>
      </x:c>
      <x:c r="G173" s="30" t="str">
        <x:v>n.a.</x:v>
      </x:c>
      <x:c r="H173" s="30" t="str">
        <x:v>n.a.</x:v>
      </x:c>
      <x:c r="I173" s="30" t="str">
        <x:f>IF(COUNT(B173,F173:H173)=4,B173+F173+G173-H173,"n.a.")</x:f>
        <x:v>n.a.</x:v>
      </x:c>
      <x:c r="J173" s="30" t="str">
        <x:v>n.a.</x:v>
      </x:c>
      <x:c r="K173" s="17"/>
      <x:c r="L173" s="17"/>
      <x:c r="M173" s="17"/>
      <x:c r="N173" s="17"/>
    </x:row>
    <x:row r="174" ht="21" customHeight="1">
      <x:c r="A174" s="27" t="d">
        <x:v>2025-12-16T00:00:00.000Z</x:v>
      </x:c>
      <x:c r="B174" s="22" t="n">
        <x:f>SUMIFS('Cash'!$C$5:$C$97,'Cash'!$A$5:$A$97,"&lt;="&amp;A174)</x:f>
        <x:v>94891</x:v>
      </x:c>
      <x:c r="C174" s="22" t="n">
        <x:f>SUMIFS('Cash'!$C$5:$C$97,'Cash'!$A$5:$A$97,A174)</x:f>
        <x:v>0</x:v>
      </x:c>
      <x:c r="D174" s="22" t="n">
        <x:f>SUMIFS('Cash'!$C$5:$C$97,'Cash'!$A$5:$A$97,"&lt;="&amp;A174,'Cash'!$B$5:$B$97,"EXTERNAL_FUNDING")</x:f>
        <x:v>34922820</x:v>
      </x:c>
      <x:c r="E174" s="22" t="n">
        <x:f>SUMIFS('Cash'!$C$5:$C$97,'Cash'!$A$5:$A$97,"&lt;="&amp;A174,'Cash'!$B$5:$B$97,"DIVIDEND_NET")</x:f>
        <x:v>137750</x:v>
      </x:c>
      <x:c r="F174" s="30" t="str">
        <x:v>n.a.</x:v>
      </x:c>
      <x:c r="G174" s="30" t="str">
        <x:v>n.a.</x:v>
      </x:c>
      <x:c r="H174" s="30" t="str">
        <x:v>n.a.</x:v>
      </x:c>
      <x:c r="I174" s="30" t="str">
        <x:f>IF(COUNT(B174,F174:H174)=4,B174+F174+G174-H174,"n.a.")</x:f>
        <x:v>n.a.</x:v>
      </x:c>
      <x:c r="J174" s="30" t="str">
        <x:v>n.a.</x:v>
      </x:c>
      <x:c r="K174" s="17"/>
      <x:c r="L174" s="17"/>
      <x:c r="M174" s="17"/>
      <x:c r="N174" s="17"/>
    </x:row>
    <x:row r="175" ht="21" customHeight="1">
      <x:c r="A175" s="27" t="d">
        <x:v>2025-12-17T00:00:00.000Z</x:v>
      </x:c>
      <x:c r="B175" s="22" t="n">
        <x:f>SUMIFS('Cash'!$C$5:$C$97,'Cash'!$A$5:$A$97,"&lt;="&amp;A175)</x:f>
        <x:v>94891</x:v>
      </x:c>
      <x:c r="C175" s="22" t="n">
        <x:f>SUMIFS('Cash'!$C$5:$C$97,'Cash'!$A$5:$A$97,A175)</x:f>
        <x:v>0</x:v>
      </x:c>
      <x:c r="D175" s="22" t="n">
        <x:f>SUMIFS('Cash'!$C$5:$C$97,'Cash'!$A$5:$A$97,"&lt;="&amp;A175,'Cash'!$B$5:$B$97,"EXTERNAL_FUNDING")</x:f>
        <x:v>34922820</x:v>
      </x:c>
      <x:c r="E175" s="22" t="n">
        <x:f>SUMIFS('Cash'!$C$5:$C$97,'Cash'!$A$5:$A$97,"&lt;="&amp;A175,'Cash'!$B$5:$B$97,"DIVIDEND_NET")</x:f>
        <x:v>137750</x:v>
      </x:c>
      <x:c r="F175" s="30" t="str">
        <x:v>n.a.</x:v>
      </x:c>
      <x:c r="G175" s="30" t="str">
        <x:v>n.a.</x:v>
      </x:c>
      <x:c r="H175" s="30" t="str">
        <x:v>n.a.</x:v>
      </x:c>
      <x:c r="I175" s="30" t="str">
        <x:f>IF(COUNT(B175,F175:H175)=4,B175+F175+G175-H175,"n.a.")</x:f>
        <x:v>n.a.</x:v>
      </x:c>
      <x:c r="J175" s="30" t="str">
        <x:v>n.a.</x:v>
      </x:c>
      <x:c r="K175" s="17"/>
      <x:c r="L175" s="17"/>
      <x:c r="M175" s="17"/>
      <x:c r="N175" s="17"/>
    </x:row>
    <x:row r="176" ht="21" customHeight="1">
      <x:c r="A176" s="27" t="d">
        <x:v>2025-12-18T00:00:00.000Z</x:v>
      </x:c>
      <x:c r="B176" s="22" t="n">
        <x:f>SUMIFS('Cash'!$C$5:$C$97,'Cash'!$A$5:$A$97,"&lt;="&amp;A176)</x:f>
        <x:v>94891</x:v>
      </x:c>
      <x:c r="C176" s="22" t="n">
        <x:f>SUMIFS('Cash'!$C$5:$C$97,'Cash'!$A$5:$A$97,A176)</x:f>
        <x:v>0</x:v>
      </x:c>
      <x:c r="D176" s="22" t="n">
        <x:f>SUMIFS('Cash'!$C$5:$C$97,'Cash'!$A$5:$A$97,"&lt;="&amp;A176,'Cash'!$B$5:$B$97,"EXTERNAL_FUNDING")</x:f>
        <x:v>34922820</x:v>
      </x:c>
      <x:c r="E176" s="22" t="n">
        <x:f>SUMIFS('Cash'!$C$5:$C$97,'Cash'!$A$5:$A$97,"&lt;="&amp;A176,'Cash'!$B$5:$B$97,"DIVIDEND_NET")</x:f>
        <x:v>137750</x:v>
      </x:c>
      <x:c r="F176" s="30" t="str">
        <x:v>n.a.</x:v>
      </x:c>
      <x:c r="G176" s="30" t="str">
        <x:v>n.a.</x:v>
      </x:c>
      <x:c r="H176" s="30" t="str">
        <x:v>n.a.</x:v>
      </x:c>
      <x:c r="I176" s="30" t="str">
        <x:f>IF(COUNT(B176,F176:H176)=4,B176+F176+G176-H176,"n.a.")</x:f>
        <x:v>n.a.</x:v>
      </x:c>
      <x:c r="J176" s="30" t="str">
        <x:v>n.a.</x:v>
      </x:c>
      <x:c r="K176" s="17"/>
      <x:c r="L176" s="17"/>
      <x:c r="M176" s="17"/>
      <x:c r="N176" s="17"/>
    </x:row>
    <x:row r="177" ht="21" customHeight="1">
      <x:c r="A177" s="27" t="d">
        <x:v>2025-12-19T00:00:00.000Z</x:v>
      </x:c>
      <x:c r="B177" s="22" t="n">
        <x:f>SUMIFS('Cash'!$C$5:$C$97,'Cash'!$A$5:$A$97,"&lt;="&amp;A177)</x:f>
        <x:v>94891</x:v>
      </x:c>
      <x:c r="C177" s="22" t="n">
        <x:f>SUMIFS('Cash'!$C$5:$C$97,'Cash'!$A$5:$A$97,A177)</x:f>
        <x:v>0</x:v>
      </x:c>
      <x:c r="D177" s="22" t="n">
        <x:f>SUMIFS('Cash'!$C$5:$C$97,'Cash'!$A$5:$A$97,"&lt;="&amp;A177,'Cash'!$B$5:$B$97,"EXTERNAL_FUNDING")</x:f>
        <x:v>34922820</x:v>
      </x:c>
      <x:c r="E177" s="22" t="n">
        <x:f>SUMIFS('Cash'!$C$5:$C$97,'Cash'!$A$5:$A$97,"&lt;="&amp;A177,'Cash'!$B$5:$B$97,"DIVIDEND_NET")</x:f>
        <x:v>137750</x:v>
      </x:c>
      <x:c r="F177" s="30" t="str">
        <x:v>n.a.</x:v>
      </x:c>
      <x:c r="G177" s="30" t="str">
        <x:v>n.a.</x:v>
      </x:c>
      <x:c r="H177" s="30" t="str">
        <x:v>n.a.</x:v>
      </x:c>
      <x:c r="I177" s="30" t="str">
        <x:f>IF(COUNT(B177,F177:H177)=4,B177+F177+G177-H177,"n.a.")</x:f>
        <x:v>n.a.</x:v>
      </x:c>
      <x:c r="J177" s="30" t="str">
        <x:v>n.a.</x:v>
      </x:c>
      <x:c r="K177" s="17"/>
      <x:c r="L177" s="17"/>
      <x:c r="M177" s="17"/>
      <x:c r="N177" s="17"/>
    </x:row>
    <x:row r="178" ht="21" customHeight="1">
      <x:c r="A178" s="27" t="d">
        <x:v>2025-12-20T00:00:00.000Z</x:v>
      </x:c>
      <x:c r="B178" s="22" t="n">
        <x:f>SUMIFS('Cash'!$C$5:$C$97,'Cash'!$A$5:$A$97,"&lt;="&amp;A178)</x:f>
        <x:v>94891</x:v>
      </x:c>
      <x:c r="C178" s="22" t="n">
        <x:f>SUMIFS('Cash'!$C$5:$C$97,'Cash'!$A$5:$A$97,A178)</x:f>
        <x:v>0</x:v>
      </x:c>
      <x:c r="D178" s="22" t="n">
        <x:f>SUMIFS('Cash'!$C$5:$C$97,'Cash'!$A$5:$A$97,"&lt;="&amp;A178,'Cash'!$B$5:$B$97,"EXTERNAL_FUNDING")</x:f>
        <x:v>34922820</x:v>
      </x:c>
      <x:c r="E178" s="22" t="n">
        <x:f>SUMIFS('Cash'!$C$5:$C$97,'Cash'!$A$5:$A$97,"&lt;="&amp;A178,'Cash'!$B$5:$B$97,"DIVIDEND_NET")</x:f>
        <x:v>137750</x:v>
      </x:c>
      <x:c r="F178" s="30" t="str">
        <x:v>n.a.</x:v>
      </x:c>
      <x:c r="G178" s="30" t="str">
        <x:v>n.a.</x:v>
      </x:c>
      <x:c r="H178" s="30" t="str">
        <x:v>n.a.</x:v>
      </x:c>
      <x:c r="I178" s="30" t="str">
        <x:f>IF(COUNT(B178,F178:H178)=4,B178+F178+G178-H178,"n.a.")</x:f>
        <x:v>n.a.</x:v>
      </x:c>
      <x:c r="J178" s="30" t="str">
        <x:v>n.a.</x:v>
      </x:c>
      <x:c r="K178" s="17"/>
      <x:c r="L178" s="17"/>
      <x:c r="M178" s="17"/>
      <x:c r="N178" s="17"/>
    </x:row>
    <x:row r="179" ht="21" customHeight="1">
      <x:c r="A179" s="27" t="d">
        <x:v>2025-12-21T00:00:00.000Z</x:v>
      </x:c>
      <x:c r="B179" s="22" t="n">
        <x:f>SUMIFS('Cash'!$C$5:$C$97,'Cash'!$A$5:$A$97,"&lt;="&amp;A179)</x:f>
        <x:v>94891</x:v>
      </x:c>
      <x:c r="C179" s="22" t="n">
        <x:f>SUMIFS('Cash'!$C$5:$C$97,'Cash'!$A$5:$A$97,A179)</x:f>
        <x:v>0</x:v>
      </x:c>
      <x:c r="D179" s="22" t="n">
        <x:f>SUMIFS('Cash'!$C$5:$C$97,'Cash'!$A$5:$A$97,"&lt;="&amp;A179,'Cash'!$B$5:$B$97,"EXTERNAL_FUNDING")</x:f>
        <x:v>34922820</x:v>
      </x:c>
      <x:c r="E179" s="22" t="n">
        <x:f>SUMIFS('Cash'!$C$5:$C$97,'Cash'!$A$5:$A$97,"&lt;="&amp;A179,'Cash'!$B$5:$B$97,"DIVIDEND_NET")</x:f>
        <x:v>137750</x:v>
      </x:c>
      <x:c r="F179" s="30" t="str">
        <x:v>n.a.</x:v>
      </x:c>
      <x:c r="G179" s="30" t="str">
        <x:v>n.a.</x:v>
      </x:c>
      <x:c r="H179" s="30" t="str">
        <x:v>n.a.</x:v>
      </x:c>
      <x:c r="I179" s="30" t="str">
        <x:f>IF(COUNT(B179,F179:H179)=4,B179+F179+G179-H179,"n.a.")</x:f>
        <x:v>n.a.</x:v>
      </x:c>
      <x:c r="J179" s="30" t="str">
        <x:v>n.a.</x:v>
      </x:c>
      <x:c r="K179" s="17"/>
      <x:c r="L179" s="17"/>
      <x:c r="M179" s="17"/>
      <x:c r="N179" s="17"/>
    </x:row>
    <x:row r="180" ht="21" customHeight="1">
      <x:c r="A180" s="27" t="d">
        <x:v>2025-12-22T00:00:00.000Z</x:v>
      </x:c>
      <x:c r="B180" s="22" t="n">
        <x:f>SUMIFS('Cash'!$C$5:$C$97,'Cash'!$A$5:$A$97,"&lt;="&amp;A180)</x:f>
        <x:v>94891</x:v>
      </x:c>
      <x:c r="C180" s="22" t="n">
        <x:f>SUMIFS('Cash'!$C$5:$C$97,'Cash'!$A$5:$A$97,A180)</x:f>
        <x:v>0</x:v>
      </x:c>
      <x:c r="D180" s="22" t="n">
        <x:f>SUMIFS('Cash'!$C$5:$C$97,'Cash'!$A$5:$A$97,"&lt;="&amp;A180,'Cash'!$B$5:$B$97,"EXTERNAL_FUNDING")</x:f>
        <x:v>34922820</x:v>
      </x:c>
      <x:c r="E180" s="22" t="n">
        <x:f>SUMIFS('Cash'!$C$5:$C$97,'Cash'!$A$5:$A$97,"&lt;="&amp;A180,'Cash'!$B$5:$B$97,"DIVIDEND_NET")</x:f>
        <x:v>137750</x:v>
      </x:c>
      <x:c r="F180" s="30" t="str">
        <x:v>n.a.</x:v>
      </x:c>
      <x:c r="G180" s="30" t="str">
        <x:v>n.a.</x:v>
      </x:c>
      <x:c r="H180" s="30" t="str">
        <x:v>n.a.</x:v>
      </x:c>
      <x:c r="I180" s="30" t="str">
        <x:f>IF(COUNT(B180,F180:H180)=4,B180+F180+G180-H180,"n.a.")</x:f>
        <x:v>n.a.</x:v>
      </x:c>
      <x:c r="J180" s="30" t="str">
        <x:v>n.a.</x:v>
      </x:c>
      <x:c r="K180" s="17"/>
      <x:c r="L180" s="17"/>
      <x:c r="M180" s="17"/>
      <x:c r="N180" s="17"/>
    </x:row>
    <x:row r="181" ht="21" customHeight="1">
      <x:c r="A181" s="27" t="d">
        <x:v>2025-12-23T00:00:00.000Z</x:v>
      </x:c>
      <x:c r="B181" s="22" t="n">
        <x:f>SUMIFS('Cash'!$C$5:$C$97,'Cash'!$A$5:$A$97,"&lt;="&amp;A181)</x:f>
        <x:v>94891</x:v>
      </x:c>
      <x:c r="C181" s="22" t="n">
        <x:f>SUMIFS('Cash'!$C$5:$C$97,'Cash'!$A$5:$A$97,A181)</x:f>
        <x:v>0</x:v>
      </x:c>
      <x:c r="D181" s="22" t="n">
        <x:f>SUMIFS('Cash'!$C$5:$C$97,'Cash'!$A$5:$A$97,"&lt;="&amp;A181,'Cash'!$B$5:$B$97,"EXTERNAL_FUNDING")</x:f>
        <x:v>34922820</x:v>
      </x:c>
      <x:c r="E181" s="22" t="n">
        <x:f>SUMIFS('Cash'!$C$5:$C$97,'Cash'!$A$5:$A$97,"&lt;="&amp;A181,'Cash'!$B$5:$B$97,"DIVIDEND_NET")</x:f>
        <x:v>137750</x:v>
      </x:c>
      <x:c r="F181" s="30" t="str">
        <x:v>n.a.</x:v>
      </x:c>
      <x:c r="G181" s="30" t="str">
        <x:v>n.a.</x:v>
      </x:c>
      <x:c r="H181" s="30" t="str">
        <x:v>n.a.</x:v>
      </x:c>
      <x:c r="I181" s="30" t="str">
        <x:f>IF(COUNT(B181,F181:H181)=4,B181+F181+G181-H181,"n.a.")</x:f>
        <x:v>n.a.</x:v>
      </x:c>
      <x:c r="J181" s="30" t="str">
        <x:v>n.a.</x:v>
      </x:c>
      <x:c r="K181" s="17"/>
      <x:c r="L181" s="17"/>
      <x:c r="M181" s="17"/>
      <x:c r="N181" s="17"/>
    </x:row>
    <x:row r="182" ht="21" customHeight="1">
      <x:c r="A182" s="27" t="d">
        <x:v>2025-12-24T00:00:00.000Z</x:v>
      </x:c>
      <x:c r="B182" s="22" t="n">
        <x:f>SUMIFS('Cash'!$C$5:$C$97,'Cash'!$A$5:$A$97,"&lt;="&amp;A182)</x:f>
        <x:v>94891</x:v>
      </x:c>
      <x:c r="C182" s="22" t="n">
        <x:f>SUMIFS('Cash'!$C$5:$C$97,'Cash'!$A$5:$A$97,A182)</x:f>
        <x:v>0</x:v>
      </x:c>
      <x:c r="D182" s="22" t="n">
        <x:f>SUMIFS('Cash'!$C$5:$C$97,'Cash'!$A$5:$A$97,"&lt;="&amp;A182,'Cash'!$B$5:$B$97,"EXTERNAL_FUNDING")</x:f>
        <x:v>34922820</x:v>
      </x:c>
      <x:c r="E182" s="22" t="n">
        <x:f>SUMIFS('Cash'!$C$5:$C$97,'Cash'!$A$5:$A$97,"&lt;="&amp;A182,'Cash'!$B$5:$B$97,"DIVIDEND_NET")</x:f>
        <x:v>137750</x:v>
      </x:c>
      <x:c r="F182" s="30" t="str">
        <x:v>n.a.</x:v>
      </x:c>
      <x:c r="G182" s="30" t="str">
        <x:v>n.a.</x:v>
      </x:c>
      <x:c r="H182" s="30" t="str">
        <x:v>n.a.</x:v>
      </x:c>
      <x:c r="I182" s="30" t="str">
        <x:f>IF(COUNT(B182,F182:H182)=4,B182+F182+G182-H182,"n.a.")</x:f>
        <x:v>n.a.</x:v>
      </x:c>
      <x:c r="J182" s="30" t="str">
        <x:v>n.a.</x:v>
      </x:c>
      <x:c r="K182" s="17"/>
      <x:c r="L182" s="17"/>
      <x:c r="M182" s="17"/>
      <x:c r="N182" s="17"/>
    </x:row>
    <x:row r="183" ht="21" customHeight="1">
      <x:c r="A183" s="27" t="d">
        <x:v>2025-12-25T00:00:00.000Z</x:v>
      </x:c>
      <x:c r="B183" s="22" t="n">
        <x:f>SUMIFS('Cash'!$C$5:$C$97,'Cash'!$A$5:$A$97,"&lt;="&amp;A183)</x:f>
        <x:v>94891</x:v>
      </x:c>
      <x:c r="C183" s="22" t="n">
        <x:f>SUMIFS('Cash'!$C$5:$C$97,'Cash'!$A$5:$A$97,A183)</x:f>
        <x:v>0</x:v>
      </x:c>
      <x:c r="D183" s="22" t="n">
        <x:f>SUMIFS('Cash'!$C$5:$C$97,'Cash'!$A$5:$A$97,"&lt;="&amp;A183,'Cash'!$B$5:$B$97,"EXTERNAL_FUNDING")</x:f>
        <x:v>34922820</x:v>
      </x:c>
      <x:c r="E183" s="22" t="n">
        <x:f>SUMIFS('Cash'!$C$5:$C$97,'Cash'!$A$5:$A$97,"&lt;="&amp;A183,'Cash'!$B$5:$B$97,"DIVIDEND_NET")</x:f>
        <x:v>137750</x:v>
      </x:c>
      <x:c r="F183" s="30" t="str">
        <x:v>n.a.</x:v>
      </x:c>
      <x:c r="G183" s="30" t="str">
        <x:v>n.a.</x:v>
      </x:c>
      <x:c r="H183" s="30" t="str">
        <x:v>n.a.</x:v>
      </x:c>
      <x:c r="I183" s="30" t="str">
        <x:f>IF(COUNT(B183,F183:H183)=4,B183+F183+G183-H183,"n.a.")</x:f>
        <x:v>n.a.</x:v>
      </x:c>
      <x:c r="J183" s="30" t="str">
        <x:v>n.a.</x:v>
      </x:c>
      <x:c r="K183" s="17"/>
      <x:c r="L183" s="17"/>
      <x:c r="M183" s="17"/>
      <x:c r="N183" s="17"/>
    </x:row>
    <x:row r="184" ht="21" customHeight="1">
      <x:c r="A184" s="27" t="d">
        <x:v>2025-12-26T00:00:00.000Z</x:v>
      </x:c>
      <x:c r="B184" s="22" t="n">
        <x:f>SUMIFS('Cash'!$C$5:$C$97,'Cash'!$A$5:$A$97,"&lt;="&amp;A184)</x:f>
        <x:v>94891</x:v>
      </x:c>
      <x:c r="C184" s="22" t="n">
        <x:f>SUMIFS('Cash'!$C$5:$C$97,'Cash'!$A$5:$A$97,A184)</x:f>
        <x:v>0</x:v>
      </x:c>
      <x:c r="D184" s="22" t="n">
        <x:f>SUMIFS('Cash'!$C$5:$C$97,'Cash'!$A$5:$A$97,"&lt;="&amp;A184,'Cash'!$B$5:$B$97,"EXTERNAL_FUNDING")</x:f>
        <x:v>34922820</x:v>
      </x:c>
      <x:c r="E184" s="22" t="n">
        <x:f>SUMIFS('Cash'!$C$5:$C$97,'Cash'!$A$5:$A$97,"&lt;="&amp;A184,'Cash'!$B$5:$B$97,"DIVIDEND_NET")</x:f>
        <x:v>137750</x:v>
      </x:c>
      <x:c r="F184" s="30" t="str">
        <x:v>n.a.</x:v>
      </x:c>
      <x:c r="G184" s="30" t="str">
        <x:v>n.a.</x:v>
      </x:c>
      <x:c r="H184" s="30" t="str">
        <x:v>n.a.</x:v>
      </x:c>
      <x:c r="I184" s="30" t="str">
        <x:f>IF(COUNT(B184,F184:H184)=4,B184+F184+G184-H184,"n.a.")</x:f>
        <x:v>n.a.</x:v>
      </x:c>
      <x:c r="J184" s="30" t="str">
        <x:v>n.a.</x:v>
      </x:c>
      <x:c r="K184" s="17"/>
      <x:c r="L184" s="17"/>
      <x:c r="M184" s="17"/>
      <x:c r="N184" s="17"/>
    </x:row>
    <x:row r="185" ht="21" customHeight="1">
      <x:c r="A185" s="27" t="d">
        <x:v>2025-12-27T00:00:00.000Z</x:v>
      </x:c>
      <x:c r="B185" s="22" t="n">
        <x:f>SUMIFS('Cash'!$C$5:$C$97,'Cash'!$A$5:$A$97,"&lt;="&amp;A185)</x:f>
        <x:v>94891</x:v>
      </x:c>
      <x:c r="C185" s="22" t="n">
        <x:f>SUMIFS('Cash'!$C$5:$C$97,'Cash'!$A$5:$A$97,A185)</x:f>
        <x:v>0</x:v>
      </x:c>
      <x:c r="D185" s="22" t="n">
        <x:f>SUMIFS('Cash'!$C$5:$C$97,'Cash'!$A$5:$A$97,"&lt;="&amp;A185,'Cash'!$B$5:$B$97,"EXTERNAL_FUNDING")</x:f>
        <x:v>34922820</x:v>
      </x:c>
      <x:c r="E185" s="22" t="n">
        <x:f>SUMIFS('Cash'!$C$5:$C$97,'Cash'!$A$5:$A$97,"&lt;="&amp;A185,'Cash'!$B$5:$B$97,"DIVIDEND_NET")</x:f>
        <x:v>137750</x:v>
      </x:c>
      <x:c r="F185" s="30" t="str">
        <x:v>n.a.</x:v>
      </x:c>
      <x:c r="G185" s="30" t="str">
        <x:v>n.a.</x:v>
      </x:c>
      <x:c r="H185" s="30" t="str">
        <x:v>n.a.</x:v>
      </x:c>
      <x:c r="I185" s="30" t="str">
        <x:f>IF(COUNT(B185,F185:H185)=4,B185+F185+G185-H185,"n.a.")</x:f>
        <x:v>n.a.</x:v>
      </x:c>
      <x:c r="J185" s="30" t="str">
        <x:v>n.a.</x:v>
      </x:c>
      <x:c r="K185" s="17"/>
      <x:c r="L185" s="17"/>
      <x:c r="M185" s="17"/>
      <x:c r="N185" s="17"/>
    </x:row>
    <x:row r="186" ht="21" customHeight="1">
      <x:c r="A186" s="27" t="d">
        <x:v>2025-12-28T00:00:00.000Z</x:v>
      </x:c>
      <x:c r="B186" s="22" t="n">
        <x:f>SUMIFS('Cash'!$C$5:$C$97,'Cash'!$A$5:$A$97,"&lt;="&amp;A186)</x:f>
        <x:v>94891</x:v>
      </x:c>
      <x:c r="C186" s="22" t="n">
        <x:f>SUMIFS('Cash'!$C$5:$C$97,'Cash'!$A$5:$A$97,A186)</x:f>
        <x:v>0</x:v>
      </x:c>
      <x:c r="D186" s="22" t="n">
        <x:f>SUMIFS('Cash'!$C$5:$C$97,'Cash'!$A$5:$A$97,"&lt;="&amp;A186,'Cash'!$B$5:$B$97,"EXTERNAL_FUNDING")</x:f>
        <x:v>34922820</x:v>
      </x:c>
      <x:c r="E186" s="22" t="n">
        <x:f>SUMIFS('Cash'!$C$5:$C$97,'Cash'!$A$5:$A$97,"&lt;="&amp;A186,'Cash'!$B$5:$B$97,"DIVIDEND_NET")</x:f>
        <x:v>137750</x:v>
      </x:c>
      <x:c r="F186" s="30" t="str">
        <x:v>n.a.</x:v>
      </x:c>
      <x:c r="G186" s="30" t="str">
        <x:v>n.a.</x:v>
      </x:c>
      <x:c r="H186" s="30" t="str">
        <x:v>n.a.</x:v>
      </x:c>
      <x:c r="I186" s="30" t="str">
        <x:f>IF(COUNT(B186,F186:H186)=4,B186+F186+G186-H186,"n.a.")</x:f>
        <x:v>n.a.</x:v>
      </x:c>
      <x:c r="J186" s="30" t="str">
        <x:v>n.a.</x:v>
      </x:c>
      <x:c r="K186" s="17"/>
      <x:c r="L186" s="17"/>
      <x:c r="M186" s="17"/>
      <x:c r="N186" s="17"/>
    </x:row>
    <x:row r="187" ht="21" customHeight="1">
      <x:c r="A187" s="27" t="d">
        <x:v>2025-12-29T00:00:00.000Z</x:v>
      </x:c>
      <x:c r="B187" s="22" t="n">
        <x:f>SUMIFS('Cash'!$C$5:$C$97,'Cash'!$A$5:$A$97,"&lt;="&amp;A187)</x:f>
        <x:v>94891</x:v>
      </x:c>
      <x:c r="C187" s="22" t="n">
        <x:f>SUMIFS('Cash'!$C$5:$C$97,'Cash'!$A$5:$A$97,A187)</x:f>
        <x:v>0</x:v>
      </x:c>
      <x:c r="D187" s="22" t="n">
        <x:f>SUMIFS('Cash'!$C$5:$C$97,'Cash'!$A$5:$A$97,"&lt;="&amp;A187,'Cash'!$B$5:$B$97,"EXTERNAL_FUNDING")</x:f>
        <x:v>34922820</x:v>
      </x:c>
      <x:c r="E187" s="22" t="n">
        <x:f>SUMIFS('Cash'!$C$5:$C$97,'Cash'!$A$5:$A$97,"&lt;="&amp;A187,'Cash'!$B$5:$B$97,"DIVIDEND_NET")</x:f>
        <x:v>137750</x:v>
      </x:c>
      <x:c r="F187" s="30" t="str">
        <x:v>n.a.</x:v>
      </x:c>
      <x:c r="G187" s="30" t="str">
        <x:v>n.a.</x:v>
      </x:c>
      <x:c r="H187" s="30" t="str">
        <x:v>n.a.</x:v>
      </x:c>
      <x:c r="I187" s="30" t="str">
        <x:f>IF(COUNT(B187,F187:H187)=4,B187+F187+G187-H187,"n.a.")</x:f>
        <x:v>n.a.</x:v>
      </x:c>
      <x:c r="J187" s="30" t="str">
        <x:v>n.a.</x:v>
      </x:c>
      <x:c r="K187" s="17"/>
      <x:c r="L187" s="17"/>
      <x:c r="M187" s="17"/>
      <x:c r="N187" s="17"/>
    </x:row>
    <x:row r="188" ht="21" customHeight="1">
      <x:c r="A188" s="27" t="d">
        <x:v>2025-12-30T00:00:00.000Z</x:v>
      </x:c>
      <x:c r="B188" s="22" t="n">
        <x:f>SUMIFS('Cash'!$C$5:$C$97,'Cash'!$A$5:$A$97,"&lt;="&amp;A188)</x:f>
        <x:v>94891</x:v>
      </x:c>
      <x:c r="C188" s="22" t="n">
        <x:f>SUMIFS('Cash'!$C$5:$C$97,'Cash'!$A$5:$A$97,A188)</x:f>
        <x:v>0</x:v>
      </x:c>
      <x:c r="D188" s="22" t="n">
        <x:f>SUMIFS('Cash'!$C$5:$C$97,'Cash'!$A$5:$A$97,"&lt;="&amp;A188,'Cash'!$B$5:$B$97,"EXTERNAL_FUNDING")</x:f>
        <x:v>34922820</x:v>
      </x:c>
      <x:c r="E188" s="22" t="n">
        <x:f>SUMIFS('Cash'!$C$5:$C$97,'Cash'!$A$5:$A$97,"&lt;="&amp;A188,'Cash'!$B$5:$B$97,"DIVIDEND_NET")</x:f>
        <x:v>137750</x:v>
      </x:c>
      <x:c r="F188" s="30" t="str">
        <x:v>n.a.</x:v>
      </x:c>
      <x:c r="G188" s="30" t="str">
        <x:v>n.a.</x:v>
      </x:c>
      <x:c r="H188" s="30" t="str">
        <x:v>n.a.</x:v>
      </x:c>
      <x:c r="I188" s="30" t="str">
        <x:f>IF(COUNT(B188,F188:H188)=4,B188+F188+G188-H188,"n.a.")</x:f>
        <x:v>n.a.</x:v>
      </x:c>
      <x:c r="J188" s="30" t="str">
        <x:v>n.a.</x:v>
      </x:c>
      <x:c r="K188" s="17"/>
      <x:c r="L188" s="17"/>
      <x:c r="M188" s="17"/>
      <x:c r="N188" s="17"/>
    </x:row>
    <x:row r="189" ht="21" customHeight="1">
      <x:c r="A189" s="27" t="d">
        <x:v>2025-12-31T00:00:00.000Z</x:v>
      </x:c>
      <x:c r="B189" s="22" t="n">
        <x:f>SUMIFS('Cash'!$C$5:$C$97,'Cash'!$A$5:$A$97,"&lt;="&amp;A189)</x:f>
        <x:v>94696</x:v>
      </x:c>
      <x:c r="C189" s="22" t="n">
        <x:f>SUMIFS('Cash'!$C$5:$C$97,'Cash'!$A$5:$A$97,A189)</x:f>
        <x:v>-195</x:v>
      </x:c>
      <x:c r="D189" s="22" t="n">
        <x:f>SUMIFS('Cash'!$C$5:$C$97,'Cash'!$A$5:$A$97,"&lt;="&amp;A189,'Cash'!$B$5:$B$97,"EXTERNAL_FUNDING")</x:f>
        <x:v>34922820</x:v>
      </x:c>
      <x:c r="E189" s="22" t="n">
        <x:f>SUMIFS('Cash'!$C$5:$C$97,'Cash'!$A$5:$A$97,"&lt;="&amp;A189,'Cash'!$B$5:$B$97,"DIVIDEND_NET")</x:f>
        <x:v>137750</x:v>
      </x:c>
      <x:c r="F189" s="30" t="str">
        <x:v>n.a.</x:v>
      </x:c>
      <x:c r="G189" s="30" t="str">
        <x:v>n.a.</x:v>
      </x:c>
      <x:c r="H189" s="30" t="str">
        <x:v>n.a.</x:v>
      </x:c>
      <x:c r="I189" s="30" t="str">
        <x:f>IF(COUNT(B189,F189:H189)=4,B189+F189+G189-H189,"n.a.")</x:f>
        <x:v>n.a.</x:v>
      </x:c>
      <x:c r="J189" s="30" t="str">
        <x:v>n.a.</x:v>
      </x:c>
      <x:c r="K189" s="17"/>
      <x:c r="L189" s="17"/>
      <x:c r="M189" s="17"/>
      <x:c r="N189" s="17"/>
    </x:row>
    <x:row r="190" ht="21" customHeight="1">
      <x:c r="A190" s="27" t="d">
        <x:v>2026-01-01T00:00:00.000Z</x:v>
      </x:c>
      <x:c r="B190" s="22" t="n">
        <x:f>SUMIFS('Cash'!$C$5:$C$97,'Cash'!$A$5:$A$97,"&lt;="&amp;A190)</x:f>
        <x:v>94696</x:v>
      </x:c>
      <x:c r="C190" s="22" t="n">
        <x:f>SUMIFS('Cash'!$C$5:$C$97,'Cash'!$A$5:$A$97,A190)</x:f>
        <x:v>0</x:v>
      </x:c>
      <x:c r="D190" s="22" t="n">
        <x:f>SUMIFS('Cash'!$C$5:$C$97,'Cash'!$A$5:$A$97,"&lt;="&amp;A190,'Cash'!$B$5:$B$97,"EXTERNAL_FUNDING")</x:f>
        <x:v>34922820</x:v>
      </x:c>
      <x:c r="E190" s="22" t="n">
        <x:f>SUMIFS('Cash'!$C$5:$C$97,'Cash'!$A$5:$A$97,"&lt;="&amp;A190,'Cash'!$B$5:$B$97,"DIVIDEND_NET")</x:f>
        <x:v>137750</x:v>
      </x:c>
      <x:c r="F190" s="30" t="str">
        <x:v>n.a.</x:v>
      </x:c>
      <x:c r="G190" s="30" t="str">
        <x:v>n.a.</x:v>
      </x:c>
      <x:c r="H190" s="30" t="str">
        <x:v>n.a.</x:v>
      </x:c>
      <x:c r="I190" s="30" t="str">
        <x:f>IF(COUNT(B190,F190:H190)=4,B190+F190+G190-H190,"n.a.")</x:f>
        <x:v>n.a.</x:v>
      </x:c>
      <x:c r="J190" s="30" t="str">
        <x:v>n.a.</x:v>
      </x:c>
      <x:c r="K190" s="17"/>
      <x:c r="L190" s="17"/>
      <x:c r="M190" s="17"/>
      <x:c r="N190" s="17"/>
    </x:row>
    <x:row r="191" ht="21" customHeight="1">
      <x:c r="A191" s="27" t="d">
        <x:v>2026-01-02T00:00:00.000Z</x:v>
      </x:c>
      <x:c r="B191" s="22" t="n">
        <x:f>SUMIFS('Cash'!$C$5:$C$97,'Cash'!$A$5:$A$97,"&lt;="&amp;A191)</x:f>
        <x:v>94696</x:v>
      </x:c>
      <x:c r="C191" s="22" t="n">
        <x:f>SUMIFS('Cash'!$C$5:$C$97,'Cash'!$A$5:$A$97,A191)</x:f>
        <x:v>0</x:v>
      </x:c>
      <x:c r="D191" s="22" t="n">
        <x:f>SUMIFS('Cash'!$C$5:$C$97,'Cash'!$A$5:$A$97,"&lt;="&amp;A191,'Cash'!$B$5:$B$97,"EXTERNAL_FUNDING")</x:f>
        <x:v>34922820</x:v>
      </x:c>
      <x:c r="E191" s="22" t="n">
        <x:f>SUMIFS('Cash'!$C$5:$C$97,'Cash'!$A$5:$A$97,"&lt;="&amp;A191,'Cash'!$B$5:$B$97,"DIVIDEND_NET")</x:f>
        <x:v>137750</x:v>
      </x:c>
      <x:c r="F191" s="30" t="str">
        <x:v>n.a.</x:v>
      </x:c>
      <x:c r="G191" s="30" t="str">
        <x:v>n.a.</x:v>
      </x:c>
      <x:c r="H191" s="30" t="str">
        <x:v>n.a.</x:v>
      </x:c>
      <x:c r="I191" s="30" t="str">
        <x:f>IF(COUNT(B191,F191:H191)=4,B191+F191+G191-H191,"n.a.")</x:f>
        <x:v>n.a.</x:v>
      </x:c>
      <x:c r="J191" s="30" t="str">
        <x:v>n.a.</x:v>
      </x:c>
      <x:c r="K191" s="17"/>
      <x:c r="L191" s="17"/>
      <x:c r="M191" s="17"/>
      <x:c r="N191" s="17"/>
    </x:row>
    <x:row r="192" ht="21" customHeight="1">
      <x:c r="A192" s="27" t="d">
        <x:v>2026-01-03T00:00:00.000Z</x:v>
      </x:c>
      <x:c r="B192" s="22" t="n">
        <x:f>SUMIFS('Cash'!$C$5:$C$97,'Cash'!$A$5:$A$97,"&lt;="&amp;A192)</x:f>
        <x:v>94696</x:v>
      </x:c>
      <x:c r="C192" s="22" t="n">
        <x:f>SUMIFS('Cash'!$C$5:$C$97,'Cash'!$A$5:$A$97,A192)</x:f>
        <x:v>0</x:v>
      </x:c>
      <x:c r="D192" s="22" t="n">
        <x:f>SUMIFS('Cash'!$C$5:$C$97,'Cash'!$A$5:$A$97,"&lt;="&amp;A192,'Cash'!$B$5:$B$97,"EXTERNAL_FUNDING")</x:f>
        <x:v>34922820</x:v>
      </x:c>
      <x:c r="E192" s="22" t="n">
        <x:f>SUMIFS('Cash'!$C$5:$C$97,'Cash'!$A$5:$A$97,"&lt;="&amp;A192,'Cash'!$B$5:$B$97,"DIVIDEND_NET")</x:f>
        <x:v>137750</x:v>
      </x:c>
      <x:c r="F192" s="30" t="str">
        <x:v>n.a.</x:v>
      </x:c>
      <x:c r="G192" s="30" t="str">
        <x:v>n.a.</x:v>
      </x:c>
      <x:c r="H192" s="30" t="str">
        <x:v>n.a.</x:v>
      </x:c>
      <x:c r="I192" s="30" t="str">
        <x:f>IF(COUNT(B192,F192:H192)=4,B192+F192+G192-H192,"n.a.")</x:f>
        <x:v>n.a.</x:v>
      </x:c>
      <x:c r="J192" s="30" t="str">
        <x:v>n.a.</x:v>
      </x:c>
      <x:c r="K192" s="17"/>
      <x:c r="L192" s="17"/>
      <x:c r="M192" s="17"/>
      <x:c r="N192" s="17"/>
    </x:row>
    <x:row r="193" ht="21" customHeight="1">
      <x:c r="A193" s="27" t="d">
        <x:v>2026-01-04T00:00:00.000Z</x:v>
      </x:c>
      <x:c r="B193" s="22" t="n">
        <x:f>SUMIFS('Cash'!$C$5:$C$97,'Cash'!$A$5:$A$97,"&lt;="&amp;A193)</x:f>
        <x:v>94696</x:v>
      </x:c>
      <x:c r="C193" s="22" t="n">
        <x:f>SUMIFS('Cash'!$C$5:$C$97,'Cash'!$A$5:$A$97,A193)</x:f>
        <x:v>0</x:v>
      </x:c>
      <x:c r="D193" s="22" t="n">
        <x:f>SUMIFS('Cash'!$C$5:$C$97,'Cash'!$A$5:$A$97,"&lt;="&amp;A193,'Cash'!$B$5:$B$97,"EXTERNAL_FUNDING")</x:f>
        <x:v>34922820</x:v>
      </x:c>
      <x:c r="E193" s="22" t="n">
        <x:f>SUMIFS('Cash'!$C$5:$C$97,'Cash'!$A$5:$A$97,"&lt;="&amp;A193,'Cash'!$B$5:$B$97,"DIVIDEND_NET")</x:f>
        <x:v>137750</x:v>
      </x:c>
      <x:c r="F193" s="30" t="str">
        <x:v>n.a.</x:v>
      </x:c>
      <x:c r="G193" s="30" t="str">
        <x:v>n.a.</x:v>
      </x:c>
      <x:c r="H193" s="30" t="str">
        <x:v>n.a.</x:v>
      </x:c>
      <x:c r="I193" s="30" t="str">
        <x:f>IF(COUNT(B193,F193:H193)=4,B193+F193+G193-H193,"n.a.")</x:f>
        <x:v>n.a.</x:v>
      </x:c>
      <x:c r="J193" s="30" t="str">
        <x:v>n.a.</x:v>
      </x:c>
      <x:c r="K193" s="17"/>
      <x:c r="L193" s="17"/>
      <x:c r="M193" s="17"/>
      <x:c r="N193" s="17"/>
    </x:row>
    <x:row r="194" ht="21" customHeight="1">
      <x:c r="A194" s="27" t="d">
        <x:v>2026-01-05T00:00:00.000Z</x:v>
      </x:c>
      <x:c r="B194" s="22" t="n">
        <x:f>SUMIFS('Cash'!$C$5:$C$97,'Cash'!$A$5:$A$97,"&lt;="&amp;A194)</x:f>
        <x:v>94696</x:v>
      </x:c>
      <x:c r="C194" s="22" t="n">
        <x:f>SUMIFS('Cash'!$C$5:$C$97,'Cash'!$A$5:$A$97,A194)</x:f>
        <x:v>0</x:v>
      </x:c>
      <x:c r="D194" s="22" t="n">
        <x:f>SUMIFS('Cash'!$C$5:$C$97,'Cash'!$A$5:$A$97,"&lt;="&amp;A194,'Cash'!$B$5:$B$97,"EXTERNAL_FUNDING")</x:f>
        <x:v>34922820</x:v>
      </x:c>
      <x:c r="E194" s="22" t="n">
        <x:f>SUMIFS('Cash'!$C$5:$C$97,'Cash'!$A$5:$A$97,"&lt;="&amp;A194,'Cash'!$B$5:$B$97,"DIVIDEND_NET")</x:f>
        <x:v>137750</x:v>
      </x:c>
      <x:c r="F194" s="30" t="str">
        <x:v>n.a.</x:v>
      </x:c>
      <x:c r="G194" s="30" t="str">
        <x:v>n.a.</x:v>
      </x:c>
      <x:c r="H194" s="30" t="str">
        <x:v>n.a.</x:v>
      </x:c>
      <x:c r="I194" s="30" t="str">
        <x:f>IF(COUNT(B194,F194:H194)=4,B194+F194+G194-H194,"n.a.")</x:f>
        <x:v>n.a.</x:v>
      </x:c>
      <x:c r="J194" s="30" t="str">
        <x:v>n.a.</x:v>
      </x:c>
      <x:c r="K194" s="17"/>
      <x:c r="L194" s="17"/>
      <x:c r="M194" s="17"/>
      <x:c r="N194" s="17"/>
    </x:row>
    <x:row r="195" ht="21" customHeight="1">
      <x:c r="A195" s="27" t="d">
        <x:v>2026-01-06T00:00:00.000Z</x:v>
      </x:c>
      <x:c r="B195" s="22" t="n">
        <x:f>SUMIFS('Cash'!$C$5:$C$97,'Cash'!$A$5:$A$97,"&lt;="&amp;A195)</x:f>
        <x:v>94696</x:v>
      </x:c>
      <x:c r="C195" s="22" t="n">
        <x:f>SUMIFS('Cash'!$C$5:$C$97,'Cash'!$A$5:$A$97,A195)</x:f>
        <x:v>0</x:v>
      </x:c>
      <x:c r="D195" s="22" t="n">
        <x:f>SUMIFS('Cash'!$C$5:$C$97,'Cash'!$A$5:$A$97,"&lt;="&amp;A195,'Cash'!$B$5:$B$97,"EXTERNAL_FUNDING")</x:f>
        <x:v>34922820</x:v>
      </x:c>
      <x:c r="E195" s="22" t="n">
        <x:f>SUMIFS('Cash'!$C$5:$C$97,'Cash'!$A$5:$A$97,"&lt;="&amp;A195,'Cash'!$B$5:$B$97,"DIVIDEND_NET")</x:f>
        <x:v>137750</x:v>
      </x:c>
      <x:c r="F195" s="30" t="str">
        <x:v>n.a.</x:v>
      </x:c>
      <x:c r="G195" s="30" t="str">
        <x:v>n.a.</x:v>
      </x:c>
      <x:c r="H195" s="30" t="str">
        <x:v>n.a.</x:v>
      </x:c>
      <x:c r="I195" s="30" t="str">
        <x:f>IF(COUNT(B195,F195:H195)=4,B195+F195+G195-H195,"n.a.")</x:f>
        <x:v>n.a.</x:v>
      </x:c>
      <x:c r="J195" s="30" t="str">
        <x:v>n.a.</x:v>
      </x:c>
      <x:c r="K195" s="17"/>
      <x:c r="L195" s="17"/>
      <x:c r="M195" s="17"/>
      <x:c r="N195" s="17"/>
    </x:row>
    <x:row r="196" ht="21" customHeight="1">
      <x:c r="A196" s="27" t="d">
        <x:v>2026-01-07T00:00:00.000Z</x:v>
      </x:c>
      <x:c r="B196" s="22" t="n">
        <x:f>SUMIFS('Cash'!$C$5:$C$97,'Cash'!$A$5:$A$97,"&lt;="&amp;A196)</x:f>
        <x:v>94696</x:v>
      </x:c>
      <x:c r="C196" s="22" t="n">
        <x:f>SUMIFS('Cash'!$C$5:$C$97,'Cash'!$A$5:$A$97,A196)</x:f>
        <x:v>0</x:v>
      </x:c>
      <x:c r="D196" s="22" t="n">
        <x:f>SUMIFS('Cash'!$C$5:$C$97,'Cash'!$A$5:$A$97,"&lt;="&amp;A196,'Cash'!$B$5:$B$97,"EXTERNAL_FUNDING")</x:f>
        <x:v>34922820</x:v>
      </x:c>
      <x:c r="E196" s="22" t="n">
        <x:f>SUMIFS('Cash'!$C$5:$C$97,'Cash'!$A$5:$A$97,"&lt;="&amp;A196,'Cash'!$B$5:$B$97,"DIVIDEND_NET")</x:f>
        <x:v>137750</x:v>
      </x:c>
      <x:c r="F196" s="30" t="str">
        <x:v>n.a.</x:v>
      </x:c>
      <x:c r="G196" s="30" t="str">
        <x:v>n.a.</x:v>
      </x:c>
      <x:c r="H196" s="30" t="str">
        <x:v>n.a.</x:v>
      </x:c>
      <x:c r="I196" s="30" t="str">
        <x:f>IF(COUNT(B196,F196:H196)=4,B196+F196+G196-H196,"n.a.")</x:f>
        <x:v>n.a.</x:v>
      </x:c>
      <x:c r="J196" s="30" t="str">
        <x:v>n.a.</x:v>
      </x:c>
      <x:c r="K196" s="17"/>
      <x:c r="L196" s="17"/>
      <x:c r="M196" s="17"/>
      <x:c r="N196" s="17"/>
    </x:row>
    <x:row r="197" ht="21" customHeight="1">
      <x:c r="A197" s="27" t="d">
        <x:v>2026-01-08T00:00:00.000Z</x:v>
      </x:c>
      <x:c r="B197" s="22" t="n">
        <x:f>SUMIFS('Cash'!$C$5:$C$97,'Cash'!$A$5:$A$97,"&lt;="&amp;A197)</x:f>
        <x:v>94696</x:v>
      </x:c>
      <x:c r="C197" s="22" t="n">
        <x:f>SUMIFS('Cash'!$C$5:$C$97,'Cash'!$A$5:$A$97,A197)</x:f>
        <x:v>0</x:v>
      </x:c>
      <x:c r="D197" s="22" t="n">
        <x:f>SUMIFS('Cash'!$C$5:$C$97,'Cash'!$A$5:$A$97,"&lt;="&amp;A197,'Cash'!$B$5:$B$97,"EXTERNAL_FUNDING")</x:f>
        <x:v>34922820</x:v>
      </x:c>
      <x:c r="E197" s="22" t="n">
        <x:f>SUMIFS('Cash'!$C$5:$C$97,'Cash'!$A$5:$A$97,"&lt;="&amp;A197,'Cash'!$B$5:$B$97,"DIVIDEND_NET")</x:f>
        <x:v>137750</x:v>
      </x:c>
      <x:c r="F197" s="30" t="str">
        <x:v>n.a.</x:v>
      </x:c>
      <x:c r="G197" s="30" t="str">
        <x:v>n.a.</x:v>
      </x:c>
      <x:c r="H197" s="30" t="str">
        <x:v>n.a.</x:v>
      </x:c>
      <x:c r="I197" s="30" t="str">
        <x:f>IF(COUNT(B197,F197:H197)=4,B197+F197+G197-H197,"n.a.")</x:f>
        <x:v>n.a.</x:v>
      </x:c>
      <x:c r="J197" s="30" t="str">
        <x:v>n.a.</x:v>
      </x:c>
      <x:c r="K197" s="17"/>
      <x:c r="L197" s="17"/>
      <x:c r="M197" s="17"/>
      <x:c r="N197" s="17"/>
    </x:row>
    <x:row r="198" ht="21" customHeight="1">
      <x:c r="A198" s="27" t="d">
        <x:v>2026-01-09T00:00:00.000Z</x:v>
      </x:c>
      <x:c r="B198" s="22" t="n">
        <x:f>SUMIFS('Cash'!$C$5:$C$97,'Cash'!$A$5:$A$97,"&lt;="&amp;A198)</x:f>
        <x:v>94696</x:v>
      </x:c>
      <x:c r="C198" s="22" t="n">
        <x:f>SUMIFS('Cash'!$C$5:$C$97,'Cash'!$A$5:$A$97,A198)</x:f>
        <x:v>0</x:v>
      </x:c>
      <x:c r="D198" s="22" t="n">
        <x:f>SUMIFS('Cash'!$C$5:$C$97,'Cash'!$A$5:$A$97,"&lt;="&amp;A198,'Cash'!$B$5:$B$97,"EXTERNAL_FUNDING")</x:f>
        <x:v>34922820</x:v>
      </x:c>
      <x:c r="E198" s="22" t="n">
        <x:f>SUMIFS('Cash'!$C$5:$C$97,'Cash'!$A$5:$A$97,"&lt;="&amp;A198,'Cash'!$B$5:$B$97,"DIVIDEND_NET")</x:f>
        <x:v>137750</x:v>
      </x:c>
      <x:c r="F198" s="30" t="str">
        <x:v>n.a.</x:v>
      </x:c>
      <x:c r="G198" s="30" t="str">
        <x:v>n.a.</x:v>
      </x:c>
      <x:c r="H198" s="30" t="str">
        <x:v>n.a.</x:v>
      </x:c>
      <x:c r="I198" s="30" t="str">
        <x:f>IF(COUNT(B198,F198:H198)=4,B198+F198+G198-H198,"n.a.")</x:f>
        <x:v>n.a.</x:v>
      </x:c>
      <x:c r="J198" s="30" t="str">
        <x:v>n.a.</x:v>
      </x:c>
      <x:c r="K198" s="17"/>
      <x:c r="L198" s="17"/>
      <x:c r="M198" s="17"/>
      <x:c r="N198" s="17"/>
    </x:row>
    <x:row r="199" ht="21" customHeight="1">
      <x:c r="A199" s="27" t="d">
        <x:v>2026-01-10T00:00:00.000Z</x:v>
      </x:c>
      <x:c r="B199" s="22" t="n">
        <x:f>SUMIFS('Cash'!$C$5:$C$97,'Cash'!$A$5:$A$97,"&lt;="&amp;A199)</x:f>
        <x:v>94696</x:v>
      </x:c>
      <x:c r="C199" s="22" t="n">
        <x:f>SUMIFS('Cash'!$C$5:$C$97,'Cash'!$A$5:$A$97,A199)</x:f>
        <x:v>0</x:v>
      </x:c>
      <x:c r="D199" s="22" t="n">
        <x:f>SUMIFS('Cash'!$C$5:$C$97,'Cash'!$A$5:$A$97,"&lt;="&amp;A199,'Cash'!$B$5:$B$97,"EXTERNAL_FUNDING")</x:f>
        <x:v>34922820</x:v>
      </x:c>
      <x:c r="E199" s="22" t="n">
        <x:f>SUMIFS('Cash'!$C$5:$C$97,'Cash'!$A$5:$A$97,"&lt;="&amp;A199,'Cash'!$B$5:$B$97,"DIVIDEND_NET")</x:f>
        <x:v>137750</x:v>
      </x:c>
      <x:c r="F199" s="30" t="str">
        <x:v>n.a.</x:v>
      </x:c>
      <x:c r="G199" s="30" t="str">
        <x:v>n.a.</x:v>
      </x:c>
      <x:c r="H199" s="30" t="str">
        <x:v>n.a.</x:v>
      </x:c>
      <x:c r="I199" s="30" t="str">
        <x:f>IF(COUNT(B199,F199:H199)=4,B199+F199+G199-H199,"n.a.")</x:f>
        <x:v>n.a.</x:v>
      </x:c>
      <x:c r="J199" s="30" t="str">
        <x:v>n.a.</x:v>
      </x:c>
      <x:c r="K199" s="17"/>
      <x:c r="L199" s="17"/>
      <x:c r="M199" s="17"/>
      <x:c r="N199" s="17"/>
    </x:row>
    <x:row r="200" ht="21" customHeight="1">
      <x:c r="A200" s="27" t="d">
        <x:v>2026-01-11T00:00:00.000Z</x:v>
      </x:c>
      <x:c r="B200" s="22" t="n">
        <x:f>SUMIFS('Cash'!$C$5:$C$97,'Cash'!$A$5:$A$97,"&lt;="&amp;A200)</x:f>
        <x:v>94696</x:v>
      </x:c>
      <x:c r="C200" s="22" t="n">
        <x:f>SUMIFS('Cash'!$C$5:$C$97,'Cash'!$A$5:$A$97,A200)</x:f>
        <x:v>0</x:v>
      </x:c>
      <x:c r="D200" s="22" t="n">
        <x:f>SUMIFS('Cash'!$C$5:$C$97,'Cash'!$A$5:$A$97,"&lt;="&amp;A200,'Cash'!$B$5:$B$97,"EXTERNAL_FUNDING")</x:f>
        <x:v>34922820</x:v>
      </x:c>
      <x:c r="E200" s="22" t="n">
        <x:f>SUMIFS('Cash'!$C$5:$C$97,'Cash'!$A$5:$A$97,"&lt;="&amp;A200,'Cash'!$B$5:$B$97,"DIVIDEND_NET")</x:f>
        <x:v>137750</x:v>
      </x:c>
      <x:c r="F200" s="30" t="str">
        <x:v>n.a.</x:v>
      </x:c>
      <x:c r="G200" s="30" t="str">
        <x:v>n.a.</x:v>
      </x:c>
      <x:c r="H200" s="30" t="str">
        <x:v>n.a.</x:v>
      </x:c>
      <x:c r="I200" s="30" t="str">
        <x:f>IF(COUNT(B200,F200:H200)=4,B200+F200+G200-H200,"n.a.")</x:f>
        <x:v>n.a.</x:v>
      </x:c>
      <x:c r="J200" s="30" t="str">
        <x:v>n.a.</x:v>
      </x:c>
      <x:c r="K200" s="17"/>
      <x:c r="L200" s="17"/>
      <x:c r="M200" s="17"/>
      <x:c r="N200" s="17"/>
    </x:row>
    <x:row r="201" ht="21" customHeight="1">
      <x:c r="A201" s="27" t="d">
        <x:v>2026-01-12T00:00:00.000Z</x:v>
      </x:c>
      <x:c r="B201" s="22" t="n">
        <x:f>SUMIFS('Cash'!$C$5:$C$97,'Cash'!$A$5:$A$97,"&lt;="&amp;A201)</x:f>
        <x:v>94696</x:v>
      </x:c>
      <x:c r="C201" s="22" t="n">
        <x:f>SUMIFS('Cash'!$C$5:$C$97,'Cash'!$A$5:$A$97,A201)</x:f>
        <x:v>0</x:v>
      </x:c>
      <x:c r="D201" s="22" t="n">
        <x:f>SUMIFS('Cash'!$C$5:$C$97,'Cash'!$A$5:$A$97,"&lt;="&amp;A201,'Cash'!$B$5:$B$97,"EXTERNAL_FUNDING")</x:f>
        <x:v>34922820</x:v>
      </x:c>
      <x:c r="E201" s="22" t="n">
        <x:f>SUMIFS('Cash'!$C$5:$C$97,'Cash'!$A$5:$A$97,"&lt;="&amp;A201,'Cash'!$B$5:$B$97,"DIVIDEND_NET")</x:f>
        <x:v>137750</x:v>
      </x:c>
      <x:c r="F201" s="30" t="str">
        <x:v>n.a.</x:v>
      </x:c>
      <x:c r="G201" s="30" t="str">
        <x:v>n.a.</x:v>
      </x:c>
      <x:c r="H201" s="30" t="str">
        <x:v>n.a.</x:v>
      </x:c>
      <x:c r="I201" s="30" t="str">
        <x:f>IF(COUNT(B201,F201:H201)=4,B201+F201+G201-H201,"n.a.")</x:f>
        <x:v>n.a.</x:v>
      </x:c>
      <x:c r="J201" s="30" t="str">
        <x:v>n.a.</x:v>
      </x:c>
      <x:c r="K201" s="17"/>
      <x:c r="L201" s="17"/>
      <x:c r="M201" s="17"/>
      <x:c r="N201" s="17"/>
    </x:row>
    <x:row r="202" ht="21" customHeight="1">
      <x:c r="A202" s="27" t="d">
        <x:v>2026-01-13T00:00:00.000Z</x:v>
      </x:c>
      <x:c r="B202" s="22" t="n">
        <x:f>SUMIFS('Cash'!$C$5:$C$97,'Cash'!$A$5:$A$97,"&lt;="&amp;A202)</x:f>
        <x:v>94696</x:v>
      </x:c>
      <x:c r="C202" s="22" t="n">
        <x:f>SUMIFS('Cash'!$C$5:$C$97,'Cash'!$A$5:$A$97,A202)</x:f>
        <x:v>0</x:v>
      </x:c>
      <x:c r="D202" s="22" t="n">
        <x:f>SUMIFS('Cash'!$C$5:$C$97,'Cash'!$A$5:$A$97,"&lt;="&amp;A202,'Cash'!$B$5:$B$97,"EXTERNAL_FUNDING")</x:f>
        <x:v>34922820</x:v>
      </x:c>
      <x:c r="E202" s="22" t="n">
        <x:f>SUMIFS('Cash'!$C$5:$C$97,'Cash'!$A$5:$A$97,"&lt;="&amp;A202,'Cash'!$B$5:$B$97,"DIVIDEND_NET")</x:f>
        <x:v>137750</x:v>
      </x:c>
      <x:c r="F202" s="30" t="str">
        <x:v>n.a.</x:v>
      </x:c>
      <x:c r="G202" s="30" t="str">
        <x:v>n.a.</x:v>
      </x:c>
      <x:c r="H202" s="30" t="str">
        <x:v>n.a.</x:v>
      </x:c>
      <x:c r="I202" s="30" t="str">
        <x:f>IF(COUNT(B202,F202:H202)=4,B202+F202+G202-H202,"n.a.")</x:f>
        <x:v>n.a.</x:v>
      </x:c>
      <x:c r="J202" s="30" t="str">
        <x:v>n.a.</x:v>
      </x:c>
      <x:c r="K202" s="17"/>
      <x:c r="L202" s="17"/>
      <x:c r="M202" s="17"/>
      <x:c r="N202" s="17"/>
    </x:row>
    <x:row r="203" ht="21" customHeight="1">
      <x:c r="A203" s="27" t="d">
        <x:v>2026-01-14T00:00:00.000Z</x:v>
      </x:c>
      <x:c r="B203" s="22" t="n">
        <x:f>SUMIFS('Cash'!$C$5:$C$97,'Cash'!$A$5:$A$97,"&lt;="&amp;A203)</x:f>
        <x:v>94696</x:v>
      </x:c>
      <x:c r="C203" s="22" t="n">
        <x:f>SUMIFS('Cash'!$C$5:$C$97,'Cash'!$A$5:$A$97,A203)</x:f>
        <x:v>0</x:v>
      </x:c>
      <x:c r="D203" s="22" t="n">
        <x:f>SUMIFS('Cash'!$C$5:$C$97,'Cash'!$A$5:$A$97,"&lt;="&amp;A203,'Cash'!$B$5:$B$97,"EXTERNAL_FUNDING")</x:f>
        <x:v>34922820</x:v>
      </x:c>
      <x:c r="E203" s="22" t="n">
        <x:f>SUMIFS('Cash'!$C$5:$C$97,'Cash'!$A$5:$A$97,"&lt;="&amp;A203,'Cash'!$B$5:$B$97,"DIVIDEND_NET")</x:f>
        <x:v>137750</x:v>
      </x:c>
      <x:c r="F203" s="30" t="str">
        <x:v>n.a.</x:v>
      </x:c>
      <x:c r="G203" s="30" t="str">
        <x:v>n.a.</x:v>
      </x:c>
      <x:c r="H203" s="30" t="str">
        <x:v>n.a.</x:v>
      </x:c>
      <x:c r="I203" s="30" t="str">
        <x:f>IF(COUNT(B203,F203:H203)=4,B203+F203+G203-H203,"n.a.")</x:f>
        <x:v>n.a.</x:v>
      </x:c>
      <x:c r="J203" s="30" t="str">
        <x:v>n.a.</x:v>
      </x:c>
      <x:c r="K203" s="17"/>
      <x:c r="L203" s="17"/>
      <x:c r="M203" s="17"/>
      <x:c r="N203" s="17"/>
    </x:row>
    <x:row r="204" ht="21" customHeight="1">
      <x:c r="A204" s="27" t="d">
        <x:v>2026-01-15T00:00:00.000Z</x:v>
      </x:c>
      <x:c r="B204" s="22" t="n">
        <x:f>SUMIFS('Cash'!$C$5:$C$97,'Cash'!$A$5:$A$97,"&lt;="&amp;A204)</x:f>
        <x:v>94696</x:v>
      </x:c>
      <x:c r="C204" s="22" t="n">
        <x:f>SUMIFS('Cash'!$C$5:$C$97,'Cash'!$A$5:$A$97,A204)</x:f>
        <x:v>0</x:v>
      </x:c>
      <x:c r="D204" s="22" t="n">
        <x:f>SUMIFS('Cash'!$C$5:$C$97,'Cash'!$A$5:$A$97,"&lt;="&amp;A204,'Cash'!$B$5:$B$97,"EXTERNAL_FUNDING")</x:f>
        <x:v>34922820</x:v>
      </x:c>
      <x:c r="E204" s="22" t="n">
        <x:f>SUMIFS('Cash'!$C$5:$C$97,'Cash'!$A$5:$A$97,"&lt;="&amp;A204,'Cash'!$B$5:$B$97,"DIVIDEND_NET")</x:f>
        <x:v>137750</x:v>
      </x:c>
      <x:c r="F204" s="30" t="str">
        <x:v>n.a.</x:v>
      </x:c>
      <x:c r="G204" s="30" t="str">
        <x:v>n.a.</x:v>
      </x:c>
      <x:c r="H204" s="30" t="str">
        <x:v>n.a.</x:v>
      </x:c>
      <x:c r="I204" s="30" t="str">
        <x:f>IF(COUNT(B204,F204:H204)=4,B204+F204+G204-H204,"n.a.")</x:f>
        <x:v>n.a.</x:v>
      </x:c>
      <x:c r="J204" s="30" t="str">
        <x:v>n.a.</x:v>
      </x:c>
      <x:c r="K204" s="17"/>
      <x:c r="L204" s="17"/>
      <x:c r="M204" s="17"/>
      <x:c r="N204" s="17"/>
    </x:row>
    <x:row r="205" ht="21" customHeight="1">
      <x:c r="A205" s="27" t="d">
        <x:v>2026-01-16T00:00:00.000Z</x:v>
      </x:c>
      <x:c r="B205" s="22" t="n">
        <x:f>SUMIFS('Cash'!$C$5:$C$97,'Cash'!$A$5:$A$97,"&lt;="&amp;A205)</x:f>
        <x:v>94696</x:v>
      </x:c>
      <x:c r="C205" s="22" t="n">
        <x:f>SUMIFS('Cash'!$C$5:$C$97,'Cash'!$A$5:$A$97,A205)</x:f>
        <x:v>0</x:v>
      </x:c>
      <x:c r="D205" s="22" t="n">
        <x:f>SUMIFS('Cash'!$C$5:$C$97,'Cash'!$A$5:$A$97,"&lt;="&amp;A205,'Cash'!$B$5:$B$97,"EXTERNAL_FUNDING")</x:f>
        <x:v>34922820</x:v>
      </x:c>
      <x:c r="E205" s="22" t="n">
        <x:f>SUMIFS('Cash'!$C$5:$C$97,'Cash'!$A$5:$A$97,"&lt;="&amp;A205,'Cash'!$B$5:$B$97,"DIVIDEND_NET")</x:f>
        <x:v>137750</x:v>
      </x:c>
      <x:c r="F205" s="30" t="str">
        <x:v>n.a.</x:v>
      </x:c>
      <x:c r="G205" s="30" t="str">
        <x:v>n.a.</x:v>
      </x:c>
      <x:c r="H205" s="30" t="str">
        <x:v>n.a.</x:v>
      </x:c>
      <x:c r="I205" s="30" t="str">
        <x:f>IF(COUNT(B205,F205:H205)=4,B205+F205+G205-H205,"n.a.")</x:f>
        <x:v>n.a.</x:v>
      </x:c>
      <x:c r="J205" s="30" t="str">
        <x:v>n.a.</x:v>
      </x:c>
      <x:c r="K205" s="17"/>
      <x:c r="L205" s="17"/>
      <x:c r="M205" s="17"/>
      <x:c r="N205" s="17"/>
    </x:row>
    <x:row r="206" ht="21" customHeight="1">
      <x:c r="A206" s="27" t="d">
        <x:v>2026-01-17T00:00:00.000Z</x:v>
      </x:c>
      <x:c r="B206" s="22" t="n">
        <x:f>SUMIFS('Cash'!$C$5:$C$97,'Cash'!$A$5:$A$97,"&lt;="&amp;A206)</x:f>
        <x:v>94696</x:v>
      </x:c>
      <x:c r="C206" s="22" t="n">
        <x:f>SUMIFS('Cash'!$C$5:$C$97,'Cash'!$A$5:$A$97,A206)</x:f>
        <x:v>0</x:v>
      </x:c>
      <x:c r="D206" s="22" t="n">
        <x:f>SUMIFS('Cash'!$C$5:$C$97,'Cash'!$A$5:$A$97,"&lt;="&amp;A206,'Cash'!$B$5:$B$97,"EXTERNAL_FUNDING")</x:f>
        <x:v>34922820</x:v>
      </x:c>
      <x:c r="E206" s="22" t="n">
        <x:f>SUMIFS('Cash'!$C$5:$C$97,'Cash'!$A$5:$A$97,"&lt;="&amp;A206,'Cash'!$B$5:$B$97,"DIVIDEND_NET")</x:f>
        <x:v>137750</x:v>
      </x:c>
      <x:c r="F206" s="30" t="str">
        <x:v>n.a.</x:v>
      </x:c>
      <x:c r="G206" s="30" t="str">
        <x:v>n.a.</x:v>
      </x:c>
      <x:c r="H206" s="30" t="str">
        <x:v>n.a.</x:v>
      </x:c>
      <x:c r="I206" s="30" t="str">
        <x:f>IF(COUNT(B206,F206:H206)=4,B206+F206+G206-H206,"n.a.")</x:f>
        <x:v>n.a.</x:v>
      </x:c>
      <x:c r="J206" s="30" t="str">
        <x:v>n.a.</x:v>
      </x:c>
      <x:c r="K206" s="17"/>
      <x:c r="L206" s="17"/>
      <x:c r="M206" s="17"/>
      <x:c r="N206" s="17"/>
    </x:row>
    <x:row r="207" ht="21" customHeight="1">
      <x:c r="A207" s="27" t="d">
        <x:v>2026-01-18T00:00:00.000Z</x:v>
      </x:c>
      <x:c r="B207" s="22" t="n">
        <x:f>SUMIFS('Cash'!$C$5:$C$97,'Cash'!$A$5:$A$97,"&lt;="&amp;A207)</x:f>
        <x:v>94696</x:v>
      </x:c>
      <x:c r="C207" s="22" t="n">
        <x:f>SUMIFS('Cash'!$C$5:$C$97,'Cash'!$A$5:$A$97,A207)</x:f>
        <x:v>0</x:v>
      </x:c>
      <x:c r="D207" s="22" t="n">
        <x:f>SUMIFS('Cash'!$C$5:$C$97,'Cash'!$A$5:$A$97,"&lt;="&amp;A207,'Cash'!$B$5:$B$97,"EXTERNAL_FUNDING")</x:f>
        <x:v>34922820</x:v>
      </x:c>
      <x:c r="E207" s="22" t="n">
        <x:f>SUMIFS('Cash'!$C$5:$C$97,'Cash'!$A$5:$A$97,"&lt;="&amp;A207,'Cash'!$B$5:$B$97,"DIVIDEND_NET")</x:f>
        <x:v>137750</x:v>
      </x:c>
      <x:c r="F207" s="30" t="str">
        <x:v>n.a.</x:v>
      </x:c>
      <x:c r="G207" s="30" t="str">
        <x:v>n.a.</x:v>
      </x:c>
      <x:c r="H207" s="30" t="str">
        <x:v>n.a.</x:v>
      </x:c>
      <x:c r="I207" s="30" t="str">
        <x:f>IF(COUNT(B207,F207:H207)=4,B207+F207+G207-H207,"n.a.")</x:f>
        <x:v>n.a.</x:v>
      </x:c>
      <x:c r="J207" s="30" t="str">
        <x:v>n.a.</x:v>
      </x:c>
      <x:c r="K207" s="17"/>
      <x:c r="L207" s="17"/>
      <x:c r="M207" s="17"/>
      <x:c r="N207" s="17"/>
    </x:row>
    <x:row r="208" ht="21" customHeight="1">
      <x:c r="A208" s="27" t="d">
        <x:v>2026-01-19T00:00:00.000Z</x:v>
      </x:c>
      <x:c r="B208" s="22" t="n">
        <x:f>SUMIFS('Cash'!$C$5:$C$97,'Cash'!$A$5:$A$97,"&lt;="&amp;A208)</x:f>
        <x:v>126</x:v>
      </x:c>
      <x:c r="C208" s="22" t="n">
        <x:f>SUMIFS('Cash'!$C$5:$C$97,'Cash'!$A$5:$A$97,A208)</x:f>
        <x:v>-94570</x:v>
      </x:c>
      <x:c r="D208" s="22" t="n">
        <x:f>SUMIFS('Cash'!$C$5:$C$97,'Cash'!$A$5:$A$97,"&lt;="&amp;A208,'Cash'!$B$5:$B$97,"EXTERNAL_FUNDING")</x:f>
        <x:v>48752426</x:v>
      </x:c>
      <x:c r="E208" s="22" t="n">
        <x:f>SUMIFS('Cash'!$C$5:$C$97,'Cash'!$A$5:$A$97,"&lt;="&amp;A208,'Cash'!$B$5:$B$97,"DIVIDEND_NET")</x:f>
        <x:v>137750</x:v>
      </x:c>
      <x:c r="F208" s="30" t="str">
        <x:v>n.a.</x:v>
      </x:c>
      <x:c r="G208" s="30" t="str">
        <x:v>n.a.</x:v>
      </x:c>
      <x:c r="H208" s="30" t="str">
        <x:v>n.a.</x:v>
      </x:c>
      <x:c r="I208" s="30" t="str">
        <x:f>IF(COUNT(B208,F208:H208)=4,B208+F208+G208-H208,"n.a.")</x:f>
        <x:v>n.a.</x:v>
      </x:c>
      <x:c r="J208" s="30" t="str">
        <x:v>n.a.</x:v>
      </x:c>
      <x:c r="K208" s="17"/>
      <x:c r="L208" s="17"/>
      <x:c r="M208" s="17"/>
      <x:c r="N208" s="17"/>
    </x:row>
    <x:row r="209" ht="21" customHeight="1">
      <x:c r="A209" s="27" t="d">
        <x:v>2026-01-20T00:00:00.000Z</x:v>
      </x:c>
      <x:c r="B209" s="22" t="n">
        <x:f>SUMIFS('Cash'!$C$5:$C$97,'Cash'!$A$5:$A$97,"&lt;="&amp;A209)</x:f>
        <x:v>126</x:v>
      </x:c>
      <x:c r="C209" s="22" t="n">
        <x:f>SUMIFS('Cash'!$C$5:$C$97,'Cash'!$A$5:$A$97,A209)</x:f>
        <x:v>0</x:v>
      </x:c>
      <x:c r="D209" s="22" t="n">
        <x:f>SUMIFS('Cash'!$C$5:$C$97,'Cash'!$A$5:$A$97,"&lt;="&amp;A209,'Cash'!$B$5:$B$97,"EXTERNAL_FUNDING")</x:f>
        <x:v>48752426</x:v>
      </x:c>
      <x:c r="E209" s="22" t="n">
        <x:f>SUMIFS('Cash'!$C$5:$C$97,'Cash'!$A$5:$A$97,"&lt;="&amp;A209,'Cash'!$B$5:$B$97,"DIVIDEND_NET")</x:f>
        <x:v>137750</x:v>
      </x:c>
      <x:c r="F209" s="30" t="str">
        <x:v>n.a.</x:v>
      </x:c>
      <x:c r="G209" s="30" t="str">
        <x:v>n.a.</x:v>
      </x:c>
      <x:c r="H209" s="30" t="str">
        <x:v>n.a.</x:v>
      </x:c>
      <x:c r="I209" s="30" t="str">
        <x:f>IF(COUNT(B209,F209:H209)=4,B209+F209+G209-H209,"n.a.")</x:f>
        <x:v>n.a.</x:v>
      </x:c>
      <x:c r="J209" s="30" t="str">
        <x:v>n.a.</x:v>
      </x:c>
      <x:c r="K209" s="17"/>
      <x:c r="L209" s="17"/>
      <x:c r="M209" s="17"/>
      <x:c r="N209" s="17"/>
    </x:row>
    <x:row r="210" ht="21" customHeight="1">
      <x:c r="A210" s="27" t="d">
        <x:v>2026-01-21T00:00:00.000Z</x:v>
      </x:c>
      <x:c r="B210" s="22" t="n">
        <x:f>SUMIFS('Cash'!$C$5:$C$97,'Cash'!$A$5:$A$97,"&lt;="&amp;A210)</x:f>
        <x:v>126</x:v>
      </x:c>
      <x:c r="C210" s="22" t="n">
        <x:f>SUMIFS('Cash'!$C$5:$C$97,'Cash'!$A$5:$A$97,A210)</x:f>
        <x:v>0</x:v>
      </x:c>
      <x:c r="D210" s="22" t="n">
        <x:f>SUMIFS('Cash'!$C$5:$C$97,'Cash'!$A$5:$A$97,"&lt;="&amp;A210,'Cash'!$B$5:$B$97,"EXTERNAL_FUNDING")</x:f>
        <x:v>48752426</x:v>
      </x:c>
      <x:c r="E210" s="22" t="n">
        <x:f>SUMIFS('Cash'!$C$5:$C$97,'Cash'!$A$5:$A$97,"&lt;="&amp;A210,'Cash'!$B$5:$B$97,"DIVIDEND_NET")</x:f>
        <x:v>137750</x:v>
      </x:c>
      <x:c r="F210" s="30" t="str">
        <x:v>n.a.</x:v>
      </x:c>
      <x:c r="G210" s="30" t="str">
        <x:v>n.a.</x:v>
      </x:c>
      <x:c r="H210" s="30" t="str">
        <x:v>n.a.</x:v>
      </x:c>
      <x:c r="I210" s="30" t="str">
        <x:f>IF(COUNT(B210,F210:H210)=4,B210+F210+G210-H210,"n.a.")</x:f>
        <x:v>n.a.</x:v>
      </x:c>
      <x:c r="J210" s="30" t="str">
        <x:v>n.a.</x:v>
      </x:c>
      <x:c r="K210" s="17"/>
      <x:c r="L210" s="17"/>
      <x:c r="M210" s="17"/>
      <x:c r="N210" s="17"/>
    </x:row>
    <x:row r="211" ht="21" customHeight="1">
      <x:c r="A211" s="27" t="d">
        <x:v>2026-01-22T00:00:00.000Z</x:v>
      </x:c>
      <x:c r="B211" s="22" t="n">
        <x:f>SUMIFS('Cash'!$C$5:$C$97,'Cash'!$A$5:$A$97,"&lt;="&amp;A211)</x:f>
        <x:v>126</x:v>
      </x:c>
      <x:c r="C211" s="22" t="n">
        <x:f>SUMIFS('Cash'!$C$5:$C$97,'Cash'!$A$5:$A$97,A211)</x:f>
        <x:v>0</x:v>
      </x:c>
      <x:c r="D211" s="22" t="n">
        <x:f>SUMIFS('Cash'!$C$5:$C$97,'Cash'!$A$5:$A$97,"&lt;="&amp;A211,'Cash'!$B$5:$B$97,"EXTERNAL_FUNDING")</x:f>
        <x:v>48752426</x:v>
      </x:c>
      <x:c r="E211" s="22" t="n">
        <x:f>SUMIFS('Cash'!$C$5:$C$97,'Cash'!$A$5:$A$97,"&lt;="&amp;A211,'Cash'!$B$5:$B$97,"DIVIDEND_NET")</x:f>
        <x:v>137750</x:v>
      </x:c>
      <x:c r="F211" s="30" t="str">
        <x:v>n.a.</x:v>
      </x:c>
      <x:c r="G211" s="30" t="str">
        <x:v>n.a.</x:v>
      </x:c>
      <x:c r="H211" s="30" t="str">
        <x:v>n.a.</x:v>
      </x:c>
      <x:c r="I211" s="30" t="str">
        <x:f>IF(COUNT(B211,F211:H211)=4,B211+F211+G211-H211,"n.a.")</x:f>
        <x:v>n.a.</x:v>
      </x:c>
      <x:c r="J211" s="30" t="str">
        <x:v>n.a.</x:v>
      </x:c>
      <x:c r="K211" s="17"/>
      <x:c r="L211" s="17"/>
      <x:c r="M211" s="17"/>
      <x:c r="N211" s="17"/>
    </x:row>
    <x:row r="212" ht="21" customHeight="1">
      <x:c r="A212" s="27" t="d">
        <x:v>2026-01-23T00:00:00.000Z</x:v>
      </x:c>
      <x:c r="B212" s="22" t="n">
        <x:f>SUMIFS('Cash'!$C$5:$C$97,'Cash'!$A$5:$A$97,"&lt;="&amp;A212)</x:f>
        <x:v>126</x:v>
      </x:c>
      <x:c r="C212" s="22" t="n">
        <x:f>SUMIFS('Cash'!$C$5:$C$97,'Cash'!$A$5:$A$97,A212)</x:f>
        <x:v>0</x:v>
      </x:c>
      <x:c r="D212" s="22" t="n">
        <x:f>SUMIFS('Cash'!$C$5:$C$97,'Cash'!$A$5:$A$97,"&lt;="&amp;A212,'Cash'!$B$5:$B$97,"EXTERNAL_FUNDING")</x:f>
        <x:v>48752426</x:v>
      </x:c>
      <x:c r="E212" s="22" t="n">
        <x:f>SUMIFS('Cash'!$C$5:$C$97,'Cash'!$A$5:$A$97,"&lt;="&amp;A212,'Cash'!$B$5:$B$97,"DIVIDEND_NET")</x:f>
        <x:v>137750</x:v>
      </x:c>
      <x:c r="F212" s="30" t="str">
        <x:v>n.a.</x:v>
      </x:c>
      <x:c r="G212" s="30" t="str">
        <x:v>n.a.</x:v>
      </x:c>
      <x:c r="H212" s="30" t="str">
        <x:v>n.a.</x:v>
      </x:c>
      <x:c r="I212" s="30" t="str">
        <x:f>IF(COUNT(B212,F212:H212)=4,B212+F212+G212-H212,"n.a.")</x:f>
        <x:v>n.a.</x:v>
      </x:c>
      <x:c r="J212" s="30" t="str">
        <x:v>n.a.</x:v>
      </x:c>
      <x:c r="K212" s="17"/>
      <x:c r="L212" s="17"/>
      <x:c r="M212" s="17"/>
      <x:c r="N212" s="17"/>
    </x:row>
    <x:row r="213" ht="21" customHeight="1">
      <x:c r="A213" s="27" t="d">
        <x:v>2026-01-24T00:00:00.000Z</x:v>
      </x:c>
      <x:c r="B213" s="22" t="n">
        <x:f>SUMIFS('Cash'!$C$5:$C$97,'Cash'!$A$5:$A$97,"&lt;="&amp;A213)</x:f>
        <x:v>126</x:v>
      </x:c>
      <x:c r="C213" s="22" t="n">
        <x:f>SUMIFS('Cash'!$C$5:$C$97,'Cash'!$A$5:$A$97,A213)</x:f>
        <x:v>0</x:v>
      </x:c>
      <x:c r="D213" s="22" t="n">
        <x:f>SUMIFS('Cash'!$C$5:$C$97,'Cash'!$A$5:$A$97,"&lt;="&amp;A213,'Cash'!$B$5:$B$97,"EXTERNAL_FUNDING")</x:f>
        <x:v>48752426</x:v>
      </x:c>
      <x:c r="E213" s="22" t="n">
        <x:f>SUMIFS('Cash'!$C$5:$C$97,'Cash'!$A$5:$A$97,"&lt;="&amp;A213,'Cash'!$B$5:$B$97,"DIVIDEND_NET")</x:f>
        <x:v>137750</x:v>
      </x:c>
      <x:c r="F213" s="30" t="str">
        <x:v>n.a.</x:v>
      </x:c>
      <x:c r="G213" s="30" t="str">
        <x:v>n.a.</x:v>
      </x:c>
      <x:c r="H213" s="30" t="str">
        <x:v>n.a.</x:v>
      </x:c>
      <x:c r="I213" s="30" t="str">
        <x:f>IF(COUNT(B213,F213:H213)=4,B213+F213+G213-H213,"n.a.")</x:f>
        <x:v>n.a.</x:v>
      </x:c>
      <x:c r="J213" s="30" t="str">
        <x:v>n.a.</x:v>
      </x:c>
      <x:c r="K213" s="17"/>
      <x:c r="L213" s="17"/>
      <x:c r="M213" s="17"/>
      <x:c r="N213" s="17"/>
    </x:row>
    <x:row r="214" ht="21" customHeight="1">
      <x:c r="A214" s="27" t="d">
        <x:v>2026-01-25T00:00:00.000Z</x:v>
      </x:c>
      <x:c r="B214" s="22" t="n">
        <x:f>SUMIFS('Cash'!$C$5:$C$97,'Cash'!$A$5:$A$97,"&lt;="&amp;A214)</x:f>
        <x:v>126</x:v>
      </x:c>
      <x:c r="C214" s="22" t="n">
        <x:f>SUMIFS('Cash'!$C$5:$C$97,'Cash'!$A$5:$A$97,A214)</x:f>
        <x:v>0</x:v>
      </x:c>
      <x:c r="D214" s="22" t="n">
        <x:f>SUMIFS('Cash'!$C$5:$C$97,'Cash'!$A$5:$A$97,"&lt;="&amp;A214,'Cash'!$B$5:$B$97,"EXTERNAL_FUNDING")</x:f>
        <x:v>48752426</x:v>
      </x:c>
      <x:c r="E214" s="22" t="n">
        <x:f>SUMIFS('Cash'!$C$5:$C$97,'Cash'!$A$5:$A$97,"&lt;="&amp;A214,'Cash'!$B$5:$B$97,"DIVIDEND_NET")</x:f>
        <x:v>137750</x:v>
      </x:c>
      <x:c r="F214" s="30" t="str">
        <x:v>n.a.</x:v>
      </x:c>
      <x:c r="G214" s="30" t="str">
        <x:v>n.a.</x:v>
      </x:c>
      <x:c r="H214" s="30" t="str">
        <x:v>n.a.</x:v>
      </x:c>
      <x:c r="I214" s="30" t="str">
        <x:f>IF(COUNT(B214,F214:H214)=4,B214+F214+G214-H214,"n.a.")</x:f>
        <x:v>n.a.</x:v>
      </x:c>
      <x:c r="J214" s="30" t="str">
        <x:v>n.a.</x:v>
      </x:c>
      <x:c r="K214" s="17"/>
      <x:c r="L214" s="17"/>
      <x:c r="M214" s="17"/>
      <x:c r="N214" s="17"/>
    </x:row>
    <x:row r="215" ht="21" customHeight="1">
      <x:c r="A215" s="27" t="d">
        <x:v>2026-01-26T00:00:00.000Z</x:v>
      </x:c>
      <x:c r="B215" s="22" t="n">
        <x:f>SUMIFS('Cash'!$C$5:$C$97,'Cash'!$A$5:$A$97,"&lt;="&amp;A215)</x:f>
        <x:v>126</x:v>
      </x:c>
      <x:c r="C215" s="22" t="n">
        <x:f>SUMIFS('Cash'!$C$5:$C$97,'Cash'!$A$5:$A$97,A215)</x:f>
        <x:v>0</x:v>
      </x:c>
      <x:c r="D215" s="22" t="n">
        <x:f>SUMIFS('Cash'!$C$5:$C$97,'Cash'!$A$5:$A$97,"&lt;="&amp;A215,'Cash'!$B$5:$B$97,"EXTERNAL_FUNDING")</x:f>
        <x:v>48752426</x:v>
      </x:c>
      <x:c r="E215" s="22" t="n">
        <x:f>SUMIFS('Cash'!$C$5:$C$97,'Cash'!$A$5:$A$97,"&lt;="&amp;A215,'Cash'!$B$5:$B$97,"DIVIDEND_NET")</x:f>
        <x:v>137750</x:v>
      </x:c>
      <x:c r="F215" s="30" t="str">
        <x:v>n.a.</x:v>
      </x:c>
      <x:c r="G215" s="30" t="str">
        <x:v>n.a.</x:v>
      </x:c>
      <x:c r="H215" s="30" t="str">
        <x:v>n.a.</x:v>
      </x:c>
      <x:c r="I215" s="30" t="str">
        <x:f>IF(COUNT(B215,F215:H215)=4,B215+F215+G215-H215,"n.a.")</x:f>
        <x:v>n.a.</x:v>
      </x:c>
      <x:c r="J215" s="30" t="str">
        <x:v>n.a.</x:v>
      </x:c>
      <x:c r="K215" s="17"/>
      <x:c r="L215" s="17"/>
      <x:c r="M215" s="17"/>
      <x:c r="N215" s="17"/>
    </x:row>
    <x:row r="216" ht="21" customHeight="1">
      <x:c r="A216" s="27" t="d">
        <x:v>2026-01-27T00:00:00.000Z</x:v>
      </x:c>
      <x:c r="B216" s="22" t="n">
        <x:f>SUMIFS('Cash'!$C$5:$C$97,'Cash'!$A$5:$A$97,"&lt;="&amp;A216)</x:f>
        <x:v>126</x:v>
      </x:c>
      <x:c r="C216" s="22" t="n">
        <x:f>SUMIFS('Cash'!$C$5:$C$97,'Cash'!$A$5:$A$97,A216)</x:f>
        <x:v>0</x:v>
      </x:c>
      <x:c r="D216" s="22" t="n">
        <x:f>SUMIFS('Cash'!$C$5:$C$97,'Cash'!$A$5:$A$97,"&lt;="&amp;A216,'Cash'!$B$5:$B$97,"EXTERNAL_FUNDING")</x:f>
        <x:v>48752426</x:v>
      </x:c>
      <x:c r="E216" s="22" t="n">
        <x:f>SUMIFS('Cash'!$C$5:$C$97,'Cash'!$A$5:$A$97,"&lt;="&amp;A216,'Cash'!$B$5:$B$97,"DIVIDEND_NET")</x:f>
        <x:v>137750</x:v>
      </x:c>
      <x:c r="F216" s="30" t="str">
        <x:v>n.a.</x:v>
      </x:c>
      <x:c r="G216" s="30" t="str">
        <x:v>n.a.</x:v>
      </x:c>
      <x:c r="H216" s="30" t="str">
        <x:v>n.a.</x:v>
      </x:c>
      <x:c r="I216" s="30" t="str">
        <x:f>IF(COUNT(B216,F216:H216)=4,B216+F216+G216-H216,"n.a.")</x:f>
        <x:v>n.a.</x:v>
      </x:c>
      <x:c r="J216" s="30" t="str">
        <x:v>n.a.</x:v>
      </x:c>
      <x:c r="K216" s="17"/>
      <x:c r="L216" s="17"/>
      <x:c r="M216" s="17"/>
      <x:c r="N216" s="17"/>
    </x:row>
    <x:row r="217" ht="21" customHeight="1">
      <x:c r="A217" s="27" t="d">
        <x:v>2026-01-28T00:00:00.000Z</x:v>
      </x:c>
      <x:c r="B217" s="22" t="n">
        <x:f>SUMIFS('Cash'!$C$5:$C$97,'Cash'!$A$5:$A$97,"&lt;="&amp;A217)</x:f>
        <x:v>126</x:v>
      </x:c>
      <x:c r="C217" s="22" t="n">
        <x:f>SUMIFS('Cash'!$C$5:$C$97,'Cash'!$A$5:$A$97,A217)</x:f>
        <x:v>0</x:v>
      </x:c>
      <x:c r="D217" s="22" t="n">
        <x:f>SUMIFS('Cash'!$C$5:$C$97,'Cash'!$A$5:$A$97,"&lt;="&amp;A217,'Cash'!$B$5:$B$97,"EXTERNAL_FUNDING")</x:f>
        <x:v>48752426</x:v>
      </x:c>
      <x:c r="E217" s="22" t="n">
        <x:f>SUMIFS('Cash'!$C$5:$C$97,'Cash'!$A$5:$A$97,"&lt;="&amp;A217,'Cash'!$B$5:$B$97,"DIVIDEND_NET")</x:f>
        <x:v>137750</x:v>
      </x:c>
      <x:c r="F217" s="30" t="str">
        <x:v>n.a.</x:v>
      </x:c>
      <x:c r="G217" s="30" t="str">
        <x:v>n.a.</x:v>
      </x:c>
      <x:c r="H217" s="30" t="str">
        <x:v>n.a.</x:v>
      </x:c>
      <x:c r="I217" s="30" t="str">
        <x:f>IF(COUNT(B217,F217:H217)=4,B217+F217+G217-H217,"n.a.")</x:f>
        <x:v>n.a.</x:v>
      </x:c>
      <x:c r="J217" s="30" t="str">
        <x:v>n.a.</x:v>
      </x:c>
      <x:c r="K217" s="17"/>
      <x:c r="L217" s="17"/>
      <x:c r="M217" s="17"/>
      <x:c r="N217" s="17"/>
    </x:row>
    <x:row r="218" ht="21" customHeight="1">
      <x:c r="A218" s="27" t="d">
        <x:v>2026-01-29T00:00:00.000Z</x:v>
      </x:c>
      <x:c r="B218" s="22" t="n">
        <x:f>SUMIFS('Cash'!$C$5:$C$97,'Cash'!$A$5:$A$97,"&lt;="&amp;A218)</x:f>
        <x:v>126</x:v>
      </x:c>
      <x:c r="C218" s="22" t="n">
        <x:f>SUMIFS('Cash'!$C$5:$C$97,'Cash'!$A$5:$A$97,A218)</x:f>
        <x:v>0</x:v>
      </x:c>
      <x:c r="D218" s="22" t="n">
        <x:f>SUMIFS('Cash'!$C$5:$C$97,'Cash'!$A$5:$A$97,"&lt;="&amp;A218,'Cash'!$B$5:$B$97,"EXTERNAL_FUNDING")</x:f>
        <x:v>48752426</x:v>
      </x:c>
      <x:c r="E218" s="22" t="n">
        <x:f>SUMIFS('Cash'!$C$5:$C$97,'Cash'!$A$5:$A$97,"&lt;="&amp;A218,'Cash'!$B$5:$B$97,"DIVIDEND_NET")</x:f>
        <x:v>137750</x:v>
      </x:c>
      <x:c r="F218" s="30" t="str">
        <x:v>n.a.</x:v>
      </x:c>
      <x:c r="G218" s="30" t="str">
        <x:v>n.a.</x:v>
      </x:c>
      <x:c r="H218" s="30" t="str">
        <x:v>n.a.</x:v>
      </x:c>
      <x:c r="I218" s="30" t="str">
        <x:f>IF(COUNT(B218,F218:H218)=4,B218+F218+G218-H218,"n.a.")</x:f>
        <x:v>n.a.</x:v>
      </x:c>
      <x:c r="J218" s="30" t="str">
        <x:v>n.a.</x:v>
      </x:c>
      <x:c r="K218" s="17"/>
      <x:c r="L218" s="17"/>
      <x:c r="M218" s="17"/>
      <x:c r="N218" s="17"/>
    </x:row>
    <x:row r="219" ht="21" customHeight="1">
      <x:c r="A219" s="27" t="d">
        <x:v>2026-01-30T00:00:00.000Z</x:v>
      </x:c>
      <x:c r="B219" s="22" t="n">
        <x:f>SUMIFS('Cash'!$C$5:$C$97,'Cash'!$A$5:$A$97,"&lt;="&amp;A219)</x:f>
        <x:v>0</x:v>
      </x:c>
      <x:c r="C219" s="22" t="n">
        <x:f>SUMIFS('Cash'!$C$5:$C$97,'Cash'!$A$5:$A$97,A219)</x:f>
        <x:v>-126</x:v>
      </x:c>
      <x:c r="D219" s="22" t="n">
        <x:f>SUMIFS('Cash'!$C$5:$C$97,'Cash'!$A$5:$A$97,"&lt;="&amp;A219,'Cash'!$B$5:$B$97,"EXTERNAL_FUNDING")</x:f>
        <x:v>48752426</x:v>
      </x:c>
      <x:c r="E219" s="22" t="n">
        <x:f>SUMIFS('Cash'!$C$5:$C$97,'Cash'!$A$5:$A$97,"&lt;="&amp;A219,'Cash'!$B$5:$B$97,"DIVIDEND_NET")</x:f>
        <x:v>137750</x:v>
      </x:c>
      <x:c r="F219" s="30" t="str">
        <x:v>n.a.</x:v>
      </x:c>
      <x:c r="G219" s="30" t="str">
        <x:v>n.a.</x:v>
      </x:c>
      <x:c r="H219" s="30" t="str">
        <x:v>n.a.</x:v>
      </x:c>
      <x:c r="I219" s="30" t="str">
        <x:f>IF(COUNT(B219,F219:H219)=4,B219+F219+G219-H219,"n.a.")</x:f>
        <x:v>n.a.</x:v>
      </x:c>
      <x:c r="J219" s="30" t="str">
        <x:v>n.a.</x:v>
      </x:c>
      <x:c r="K219" s="17"/>
      <x:c r="L219" s="17"/>
      <x:c r="M219" s="17"/>
      <x:c r="N219" s="17"/>
    </x:row>
    <x:row r="220" ht="21" customHeight="1">
      <x:c r="A220" s="27" t="d">
        <x:v>2026-01-31T00:00:00.000Z</x:v>
      </x:c>
      <x:c r="B220" s="22" t="n">
        <x:f>SUMIFS('Cash'!$C$5:$C$97,'Cash'!$A$5:$A$97,"&lt;="&amp;A220)</x:f>
        <x:v>0</x:v>
      </x:c>
      <x:c r="C220" s="22" t="n">
        <x:f>SUMIFS('Cash'!$C$5:$C$97,'Cash'!$A$5:$A$97,A220)</x:f>
        <x:v>0</x:v>
      </x:c>
      <x:c r="D220" s="22" t="n">
        <x:f>SUMIFS('Cash'!$C$5:$C$97,'Cash'!$A$5:$A$97,"&lt;="&amp;A220,'Cash'!$B$5:$B$97,"EXTERNAL_FUNDING")</x:f>
        <x:v>48752426</x:v>
      </x:c>
      <x:c r="E220" s="22" t="n">
        <x:f>SUMIFS('Cash'!$C$5:$C$97,'Cash'!$A$5:$A$97,"&lt;="&amp;A220,'Cash'!$B$5:$B$97,"DIVIDEND_NET")</x:f>
        <x:v>137750</x:v>
      </x:c>
      <x:c r="F220" s="30" t="str">
        <x:v>n.a.</x:v>
      </x:c>
      <x:c r="G220" s="30" t="str">
        <x:v>n.a.</x:v>
      </x:c>
      <x:c r="H220" s="30" t="str">
        <x:v>n.a.</x:v>
      </x:c>
      <x:c r="I220" s="30" t="str">
        <x:f>IF(COUNT(B220,F220:H220)=4,B220+F220+G220-H220,"n.a.")</x:f>
        <x:v>n.a.</x:v>
      </x:c>
      <x:c r="J220" s="30" t="str">
        <x:v>n.a.</x:v>
      </x:c>
      <x:c r="K220" s="17"/>
      <x:c r="L220" s="17"/>
      <x:c r="M220" s="17"/>
      <x:c r="N220" s="17"/>
    </x:row>
    <x:row r="221" ht="21" customHeight="1">
      <x:c r="A221" s="27" t="d">
        <x:v>2026-02-01T00:00:00.000Z</x:v>
      </x:c>
      <x:c r="B221" s="22" t="n">
        <x:f>SUMIFS('Cash'!$C$5:$C$97,'Cash'!$A$5:$A$97,"&lt;="&amp;A221)</x:f>
        <x:v>0</x:v>
      </x:c>
      <x:c r="C221" s="22" t="n">
        <x:f>SUMIFS('Cash'!$C$5:$C$97,'Cash'!$A$5:$A$97,A221)</x:f>
        <x:v>0</x:v>
      </x:c>
      <x:c r="D221" s="22" t="n">
        <x:f>SUMIFS('Cash'!$C$5:$C$97,'Cash'!$A$5:$A$97,"&lt;="&amp;A221,'Cash'!$B$5:$B$97,"EXTERNAL_FUNDING")</x:f>
        <x:v>48752426</x:v>
      </x:c>
      <x:c r="E221" s="22" t="n">
        <x:f>SUMIFS('Cash'!$C$5:$C$97,'Cash'!$A$5:$A$97,"&lt;="&amp;A221,'Cash'!$B$5:$B$97,"DIVIDEND_NET")</x:f>
        <x:v>137750</x:v>
      </x:c>
      <x:c r="F221" s="30" t="str">
        <x:v>n.a.</x:v>
      </x:c>
      <x:c r="G221" s="30" t="str">
        <x:v>n.a.</x:v>
      </x:c>
      <x:c r="H221" s="30" t="str">
        <x:v>n.a.</x:v>
      </x:c>
      <x:c r="I221" s="30" t="str">
        <x:f>IF(COUNT(B221,F221:H221)=4,B221+F221+G221-H221,"n.a.")</x:f>
        <x:v>n.a.</x:v>
      </x:c>
      <x:c r="J221" s="30" t="str">
        <x:v>n.a.</x:v>
      </x:c>
      <x:c r="K221" s="17"/>
      <x:c r="L221" s="17"/>
      <x:c r="M221" s="17"/>
      <x:c r="N221" s="17"/>
    </x:row>
    <x:row r="222" ht="21" customHeight="1">
      <x:c r="A222" s="27" t="d">
        <x:v>2026-02-02T00:00:00.000Z</x:v>
      </x:c>
      <x:c r="B222" s="22" t="n">
        <x:f>SUMIFS('Cash'!$C$5:$C$97,'Cash'!$A$5:$A$97,"&lt;="&amp;A222)</x:f>
        <x:v>0</x:v>
      </x:c>
      <x:c r="C222" s="22" t="n">
        <x:f>SUMIFS('Cash'!$C$5:$C$97,'Cash'!$A$5:$A$97,A222)</x:f>
        <x:v>0</x:v>
      </x:c>
      <x:c r="D222" s="22" t="n">
        <x:f>SUMIFS('Cash'!$C$5:$C$97,'Cash'!$A$5:$A$97,"&lt;="&amp;A222,'Cash'!$B$5:$B$97,"EXTERNAL_FUNDING")</x:f>
        <x:v>48752426</x:v>
      </x:c>
      <x:c r="E222" s="22" t="n">
        <x:f>SUMIFS('Cash'!$C$5:$C$97,'Cash'!$A$5:$A$97,"&lt;="&amp;A222,'Cash'!$B$5:$B$97,"DIVIDEND_NET")</x:f>
        <x:v>137750</x:v>
      </x:c>
      <x:c r="F222" s="30" t="str">
        <x:v>n.a.</x:v>
      </x:c>
      <x:c r="G222" s="30" t="str">
        <x:v>n.a.</x:v>
      </x:c>
      <x:c r="H222" s="30" t="str">
        <x:v>n.a.</x:v>
      </x:c>
      <x:c r="I222" s="30" t="str">
        <x:f>IF(COUNT(B222,F222:H222)=4,B222+F222+G222-H222,"n.a.")</x:f>
        <x:v>n.a.</x:v>
      </x:c>
      <x:c r="J222" s="30" t="str">
        <x:v>n.a.</x:v>
      </x:c>
      <x:c r="K222" s="17"/>
      <x:c r="L222" s="17"/>
      <x:c r="M222" s="17"/>
      <x:c r="N222" s="17"/>
    </x:row>
    <x:row r="223" ht="21" customHeight="1">
      <x:c r="A223" s="27" t="d">
        <x:v>2026-02-03T00:00:00.000Z</x:v>
      </x:c>
      <x:c r="B223" s="22" t="n">
        <x:f>SUMIFS('Cash'!$C$5:$C$97,'Cash'!$A$5:$A$97,"&lt;="&amp;A223)</x:f>
        <x:v>0</x:v>
      </x:c>
      <x:c r="C223" s="22" t="n">
        <x:f>SUMIFS('Cash'!$C$5:$C$97,'Cash'!$A$5:$A$97,A223)</x:f>
        <x:v>0</x:v>
      </x:c>
      <x:c r="D223" s="22" t="n">
        <x:f>SUMIFS('Cash'!$C$5:$C$97,'Cash'!$A$5:$A$97,"&lt;="&amp;A223,'Cash'!$B$5:$B$97,"EXTERNAL_FUNDING")</x:f>
        <x:v>48752426</x:v>
      </x:c>
      <x:c r="E223" s="22" t="n">
        <x:f>SUMIFS('Cash'!$C$5:$C$97,'Cash'!$A$5:$A$97,"&lt;="&amp;A223,'Cash'!$B$5:$B$97,"DIVIDEND_NET")</x:f>
        <x:v>137750</x:v>
      </x:c>
      <x:c r="F223" s="30" t="str">
        <x:v>n.a.</x:v>
      </x:c>
      <x:c r="G223" s="30" t="str">
        <x:v>n.a.</x:v>
      </x:c>
      <x:c r="H223" s="30" t="str">
        <x:v>n.a.</x:v>
      </x:c>
      <x:c r="I223" s="30" t="str">
        <x:f>IF(COUNT(B223,F223:H223)=4,B223+F223+G223-H223,"n.a.")</x:f>
        <x:v>n.a.</x:v>
      </x:c>
      <x:c r="J223" s="30" t="str">
        <x:v>n.a.</x:v>
      </x:c>
      <x:c r="K223" s="17"/>
      <x:c r="L223" s="17"/>
      <x:c r="M223" s="17"/>
      <x:c r="N223" s="17"/>
    </x:row>
    <x:row r="224" ht="21" customHeight="1">
      <x:c r="A224" s="27" t="d">
        <x:v>2026-02-04T00:00:00.000Z</x:v>
      </x:c>
      <x:c r="B224" s="22" t="n">
        <x:f>SUMIFS('Cash'!$C$5:$C$97,'Cash'!$A$5:$A$97,"&lt;="&amp;A224)</x:f>
        <x:v>0</x:v>
      </x:c>
      <x:c r="C224" s="22" t="n">
        <x:f>SUMIFS('Cash'!$C$5:$C$97,'Cash'!$A$5:$A$97,A224)</x:f>
        <x:v>0</x:v>
      </x:c>
      <x:c r="D224" s="22" t="n">
        <x:f>SUMIFS('Cash'!$C$5:$C$97,'Cash'!$A$5:$A$97,"&lt;="&amp;A224,'Cash'!$B$5:$B$97,"EXTERNAL_FUNDING")</x:f>
        <x:v>48752426</x:v>
      </x:c>
      <x:c r="E224" s="22" t="n">
        <x:f>SUMIFS('Cash'!$C$5:$C$97,'Cash'!$A$5:$A$97,"&lt;="&amp;A224,'Cash'!$B$5:$B$97,"DIVIDEND_NET")</x:f>
        <x:v>137750</x:v>
      </x:c>
      <x:c r="F224" s="30" t="str">
        <x:v>n.a.</x:v>
      </x:c>
      <x:c r="G224" s="30" t="str">
        <x:v>n.a.</x:v>
      </x:c>
      <x:c r="H224" s="30" t="str">
        <x:v>n.a.</x:v>
      </x:c>
      <x:c r="I224" s="30" t="str">
        <x:f>IF(COUNT(B224,F224:H224)=4,B224+F224+G224-H224,"n.a.")</x:f>
        <x:v>n.a.</x:v>
      </x:c>
      <x:c r="J224" s="30" t="str">
        <x:v>n.a.</x:v>
      </x:c>
      <x:c r="K224" s="17"/>
      <x:c r="L224" s="17"/>
      <x:c r="M224" s="17"/>
      <x:c r="N224" s="17"/>
    </x:row>
    <x:row r="225" ht="21" customHeight="1">
      <x:c r="A225" s="27" t="d">
        <x:v>2026-02-05T00:00:00.000Z</x:v>
      </x:c>
      <x:c r="B225" s="22" t="n">
        <x:f>SUMIFS('Cash'!$C$5:$C$97,'Cash'!$A$5:$A$97,"&lt;="&amp;A225)</x:f>
        <x:v>0</x:v>
      </x:c>
      <x:c r="C225" s="22" t="n">
        <x:f>SUMIFS('Cash'!$C$5:$C$97,'Cash'!$A$5:$A$97,A225)</x:f>
        <x:v>0</x:v>
      </x:c>
      <x:c r="D225" s="22" t="n">
        <x:f>SUMIFS('Cash'!$C$5:$C$97,'Cash'!$A$5:$A$97,"&lt;="&amp;A225,'Cash'!$B$5:$B$97,"EXTERNAL_FUNDING")</x:f>
        <x:v>48752426</x:v>
      </x:c>
      <x:c r="E225" s="22" t="n">
        <x:f>SUMIFS('Cash'!$C$5:$C$97,'Cash'!$A$5:$A$97,"&lt;="&amp;A225,'Cash'!$B$5:$B$97,"DIVIDEND_NET")</x:f>
        <x:v>137750</x:v>
      </x:c>
      <x:c r="F225" s="30" t="str">
        <x:v>n.a.</x:v>
      </x:c>
      <x:c r="G225" s="30" t="str">
        <x:v>n.a.</x:v>
      </x:c>
      <x:c r="H225" s="30" t="str">
        <x:v>n.a.</x:v>
      </x:c>
      <x:c r="I225" s="30" t="str">
        <x:f>IF(COUNT(B225,F225:H225)=4,B225+F225+G225-H225,"n.a.")</x:f>
        <x:v>n.a.</x:v>
      </x:c>
      <x:c r="J225" s="30" t="str">
        <x:v>n.a.</x:v>
      </x:c>
      <x:c r="K225" s="17"/>
      <x:c r="L225" s="17"/>
      <x:c r="M225" s="17"/>
      <x:c r="N225" s="17"/>
    </x:row>
    <x:row r="226" ht="21" customHeight="1">
      <x:c r="A226" s="27" t="d">
        <x:v>2026-02-06T00:00:00.000Z</x:v>
      </x:c>
      <x:c r="B226" s="22" t="n">
        <x:f>SUMIFS('Cash'!$C$5:$C$97,'Cash'!$A$5:$A$97,"&lt;="&amp;A226)</x:f>
        <x:v>0</x:v>
      </x:c>
      <x:c r="C226" s="22" t="n">
        <x:f>SUMIFS('Cash'!$C$5:$C$97,'Cash'!$A$5:$A$97,A226)</x:f>
        <x:v>0</x:v>
      </x:c>
      <x:c r="D226" s="22" t="n">
        <x:f>SUMIFS('Cash'!$C$5:$C$97,'Cash'!$A$5:$A$97,"&lt;="&amp;A226,'Cash'!$B$5:$B$97,"EXTERNAL_FUNDING")</x:f>
        <x:v>48752426</x:v>
      </x:c>
      <x:c r="E226" s="22" t="n">
        <x:f>SUMIFS('Cash'!$C$5:$C$97,'Cash'!$A$5:$A$97,"&lt;="&amp;A226,'Cash'!$B$5:$B$97,"DIVIDEND_NET")</x:f>
        <x:v>137750</x:v>
      </x:c>
      <x:c r="F226" s="30" t="str">
        <x:v>n.a.</x:v>
      </x:c>
      <x:c r="G226" s="30" t="str">
        <x:v>n.a.</x:v>
      </x:c>
      <x:c r="H226" s="30" t="str">
        <x:v>n.a.</x:v>
      </x:c>
      <x:c r="I226" s="30" t="str">
        <x:f>IF(COUNT(B226,F226:H226)=4,B226+F226+G226-H226,"n.a.")</x:f>
        <x:v>n.a.</x:v>
      </x:c>
      <x:c r="J226" s="30" t="str">
        <x:v>n.a.</x:v>
      </x:c>
      <x:c r="K226" s="17"/>
      <x:c r="L226" s="17"/>
      <x:c r="M226" s="17"/>
      <x:c r="N226" s="17"/>
    </x:row>
    <x:row r="227" ht="21" customHeight="1">
      <x:c r="A227" s="27" t="d">
        <x:v>2026-02-07T00:00:00.000Z</x:v>
      </x:c>
      <x:c r="B227" s="22" t="n">
        <x:f>SUMIFS('Cash'!$C$5:$C$97,'Cash'!$A$5:$A$97,"&lt;="&amp;A227)</x:f>
        <x:v>0</x:v>
      </x:c>
      <x:c r="C227" s="22" t="n">
        <x:f>SUMIFS('Cash'!$C$5:$C$97,'Cash'!$A$5:$A$97,A227)</x:f>
        <x:v>0</x:v>
      </x:c>
      <x:c r="D227" s="22" t="n">
        <x:f>SUMIFS('Cash'!$C$5:$C$97,'Cash'!$A$5:$A$97,"&lt;="&amp;A227,'Cash'!$B$5:$B$97,"EXTERNAL_FUNDING")</x:f>
        <x:v>48752426</x:v>
      </x:c>
      <x:c r="E227" s="22" t="n">
        <x:f>SUMIFS('Cash'!$C$5:$C$97,'Cash'!$A$5:$A$97,"&lt;="&amp;A227,'Cash'!$B$5:$B$97,"DIVIDEND_NET")</x:f>
        <x:v>137750</x:v>
      </x:c>
      <x:c r="F227" s="30" t="str">
        <x:v>n.a.</x:v>
      </x:c>
      <x:c r="G227" s="30" t="str">
        <x:v>n.a.</x:v>
      </x:c>
      <x:c r="H227" s="30" t="str">
        <x:v>n.a.</x:v>
      </x:c>
      <x:c r="I227" s="30" t="str">
        <x:f>IF(COUNT(B227,F227:H227)=4,B227+F227+G227-H227,"n.a.")</x:f>
        <x:v>n.a.</x:v>
      </x:c>
      <x:c r="J227" s="30" t="str">
        <x:v>n.a.</x:v>
      </x:c>
      <x:c r="K227" s="17"/>
      <x:c r="L227" s="17"/>
      <x:c r="M227" s="17"/>
      <x:c r="N227" s="17"/>
    </x:row>
    <x:row r="228" ht="21" customHeight="1">
      <x:c r="A228" s="27" t="d">
        <x:v>2026-02-08T00:00:00.000Z</x:v>
      </x:c>
      <x:c r="B228" s="22" t="n">
        <x:f>SUMIFS('Cash'!$C$5:$C$97,'Cash'!$A$5:$A$97,"&lt;="&amp;A228)</x:f>
        <x:v>0</x:v>
      </x:c>
      <x:c r="C228" s="22" t="n">
        <x:f>SUMIFS('Cash'!$C$5:$C$97,'Cash'!$A$5:$A$97,A228)</x:f>
        <x:v>0</x:v>
      </x:c>
      <x:c r="D228" s="22" t="n">
        <x:f>SUMIFS('Cash'!$C$5:$C$97,'Cash'!$A$5:$A$97,"&lt;="&amp;A228,'Cash'!$B$5:$B$97,"EXTERNAL_FUNDING")</x:f>
        <x:v>48752426</x:v>
      </x:c>
      <x:c r="E228" s="22" t="n">
        <x:f>SUMIFS('Cash'!$C$5:$C$97,'Cash'!$A$5:$A$97,"&lt;="&amp;A228,'Cash'!$B$5:$B$97,"DIVIDEND_NET")</x:f>
        <x:v>137750</x:v>
      </x:c>
      <x:c r="F228" s="30" t="str">
        <x:v>n.a.</x:v>
      </x:c>
      <x:c r="G228" s="30" t="str">
        <x:v>n.a.</x:v>
      </x:c>
      <x:c r="H228" s="30" t="str">
        <x:v>n.a.</x:v>
      </x:c>
      <x:c r="I228" s="30" t="str">
        <x:f>IF(COUNT(B228,F228:H228)=4,B228+F228+G228-H228,"n.a.")</x:f>
        <x:v>n.a.</x:v>
      </x:c>
      <x:c r="J228" s="30" t="str">
        <x:v>n.a.</x:v>
      </x:c>
      <x:c r="K228" s="17"/>
      <x:c r="L228" s="17"/>
      <x:c r="M228" s="17"/>
      <x:c r="N228" s="17"/>
    </x:row>
    <x:row r="229" ht="21" customHeight="1">
      <x:c r="A229" s="27" t="d">
        <x:v>2026-02-09T00:00:00.000Z</x:v>
      </x:c>
      <x:c r="B229" s="22" t="n">
        <x:f>SUMIFS('Cash'!$C$5:$C$97,'Cash'!$A$5:$A$97,"&lt;="&amp;A229)</x:f>
        <x:v>0</x:v>
      </x:c>
      <x:c r="C229" s="22" t="n">
        <x:f>SUMIFS('Cash'!$C$5:$C$97,'Cash'!$A$5:$A$97,A229)</x:f>
        <x:v>0</x:v>
      </x:c>
      <x:c r="D229" s="22" t="n">
        <x:f>SUMIFS('Cash'!$C$5:$C$97,'Cash'!$A$5:$A$97,"&lt;="&amp;A229,'Cash'!$B$5:$B$97,"EXTERNAL_FUNDING")</x:f>
        <x:v>48752426</x:v>
      </x:c>
      <x:c r="E229" s="22" t="n">
        <x:f>SUMIFS('Cash'!$C$5:$C$97,'Cash'!$A$5:$A$97,"&lt;="&amp;A229,'Cash'!$B$5:$B$97,"DIVIDEND_NET")</x:f>
        <x:v>137750</x:v>
      </x:c>
      <x:c r="F229" s="30" t="str">
        <x:v>n.a.</x:v>
      </x:c>
      <x:c r="G229" s="30" t="str">
        <x:v>n.a.</x:v>
      </x:c>
      <x:c r="H229" s="30" t="str">
        <x:v>n.a.</x:v>
      </x:c>
      <x:c r="I229" s="30" t="str">
        <x:f>IF(COUNT(B229,F229:H229)=4,B229+F229+G229-H229,"n.a.")</x:f>
        <x:v>n.a.</x:v>
      </x:c>
      <x:c r="J229" s="30" t="str">
        <x:v>n.a.</x:v>
      </x:c>
      <x:c r="K229" s="17"/>
      <x:c r="L229" s="17"/>
      <x:c r="M229" s="17"/>
      <x:c r="N229" s="17"/>
    </x:row>
    <x:row r="230" ht="21" customHeight="1">
      <x:c r="A230" s="27" t="d">
        <x:v>2026-02-10T00:00:00.000Z</x:v>
      </x:c>
      <x:c r="B230" s="22" t="n">
        <x:f>SUMIFS('Cash'!$C$5:$C$97,'Cash'!$A$5:$A$97,"&lt;="&amp;A230)</x:f>
        <x:v>0</x:v>
      </x:c>
      <x:c r="C230" s="22" t="n">
        <x:f>SUMIFS('Cash'!$C$5:$C$97,'Cash'!$A$5:$A$97,A230)</x:f>
        <x:v>0</x:v>
      </x:c>
      <x:c r="D230" s="22" t="n">
        <x:f>SUMIFS('Cash'!$C$5:$C$97,'Cash'!$A$5:$A$97,"&lt;="&amp;A230,'Cash'!$B$5:$B$97,"EXTERNAL_FUNDING")</x:f>
        <x:v>48752426</x:v>
      </x:c>
      <x:c r="E230" s="22" t="n">
        <x:f>SUMIFS('Cash'!$C$5:$C$97,'Cash'!$A$5:$A$97,"&lt;="&amp;A230,'Cash'!$B$5:$B$97,"DIVIDEND_NET")</x:f>
        <x:v>137750</x:v>
      </x:c>
      <x:c r="F230" s="30" t="str">
        <x:v>n.a.</x:v>
      </x:c>
      <x:c r="G230" s="30" t="str">
        <x:v>n.a.</x:v>
      </x:c>
      <x:c r="H230" s="30" t="str">
        <x:v>n.a.</x:v>
      </x:c>
      <x:c r="I230" s="30" t="str">
        <x:f>IF(COUNT(B230,F230:H230)=4,B230+F230+G230-H230,"n.a.")</x:f>
        <x:v>n.a.</x:v>
      </x:c>
      <x:c r="J230" s="30" t="str">
        <x:v>n.a.</x:v>
      </x:c>
      <x:c r="K230" s="17"/>
      <x:c r="L230" s="17"/>
      <x:c r="M230" s="17"/>
      <x:c r="N230" s="17"/>
    </x:row>
    <x:row r="231" ht="21" customHeight="1">
      <x:c r="A231" s="27" t="d">
        <x:v>2026-02-11T00:00:00.000Z</x:v>
      </x:c>
      <x:c r="B231" s="22" t="n">
        <x:f>SUMIFS('Cash'!$C$5:$C$97,'Cash'!$A$5:$A$97,"&lt;="&amp;A231)</x:f>
        <x:v>0</x:v>
      </x:c>
      <x:c r="C231" s="22" t="n">
        <x:f>SUMIFS('Cash'!$C$5:$C$97,'Cash'!$A$5:$A$97,A231)</x:f>
        <x:v>0</x:v>
      </x:c>
      <x:c r="D231" s="22" t="n">
        <x:f>SUMIFS('Cash'!$C$5:$C$97,'Cash'!$A$5:$A$97,"&lt;="&amp;A231,'Cash'!$B$5:$B$97,"EXTERNAL_FUNDING")</x:f>
        <x:v>48752426</x:v>
      </x:c>
      <x:c r="E231" s="22" t="n">
        <x:f>SUMIFS('Cash'!$C$5:$C$97,'Cash'!$A$5:$A$97,"&lt;="&amp;A231,'Cash'!$B$5:$B$97,"DIVIDEND_NET")</x:f>
        <x:v>137750</x:v>
      </x:c>
      <x:c r="F231" s="30" t="str">
        <x:v>n.a.</x:v>
      </x:c>
      <x:c r="G231" s="30" t="str">
        <x:v>n.a.</x:v>
      </x:c>
      <x:c r="H231" s="30" t="str">
        <x:v>n.a.</x:v>
      </x:c>
      <x:c r="I231" s="30" t="str">
        <x:f>IF(COUNT(B231,F231:H231)=4,B231+F231+G231-H231,"n.a.")</x:f>
        <x:v>n.a.</x:v>
      </x:c>
      <x:c r="J231" s="30" t="str">
        <x:v>n.a.</x:v>
      </x:c>
      <x:c r="K231" s="17"/>
      <x:c r="L231" s="17"/>
      <x:c r="M231" s="17"/>
      <x:c r="N231" s="17"/>
    </x:row>
    <x:row r="232" ht="21" customHeight="1">
      <x:c r="A232" s="27" t="d">
        <x:v>2026-02-12T00:00:00.000Z</x:v>
      </x:c>
      <x:c r="B232" s="22" t="n">
        <x:f>SUMIFS('Cash'!$C$5:$C$97,'Cash'!$A$5:$A$97,"&lt;="&amp;A232)</x:f>
        <x:v>0</x:v>
      </x:c>
      <x:c r="C232" s="22" t="n">
        <x:f>SUMIFS('Cash'!$C$5:$C$97,'Cash'!$A$5:$A$97,A232)</x:f>
        <x:v>0</x:v>
      </x:c>
      <x:c r="D232" s="22" t="n">
        <x:f>SUMIFS('Cash'!$C$5:$C$97,'Cash'!$A$5:$A$97,"&lt;="&amp;A232,'Cash'!$B$5:$B$97,"EXTERNAL_FUNDING")</x:f>
        <x:v>48752426</x:v>
      </x:c>
      <x:c r="E232" s="22" t="n">
        <x:f>SUMIFS('Cash'!$C$5:$C$97,'Cash'!$A$5:$A$97,"&lt;="&amp;A232,'Cash'!$B$5:$B$97,"DIVIDEND_NET")</x:f>
        <x:v>137750</x:v>
      </x:c>
      <x:c r="F232" s="30" t="str">
        <x:v>n.a.</x:v>
      </x:c>
      <x:c r="G232" s="30" t="str">
        <x:v>n.a.</x:v>
      </x:c>
      <x:c r="H232" s="30" t="str">
        <x:v>n.a.</x:v>
      </x:c>
      <x:c r="I232" s="30" t="str">
        <x:f>IF(COUNT(B232,F232:H232)=4,B232+F232+G232-H232,"n.a.")</x:f>
        <x:v>n.a.</x:v>
      </x:c>
      <x:c r="J232" s="30" t="str">
        <x:v>n.a.</x:v>
      </x:c>
      <x:c r="K232" s="17"/>
      <x:c r="L232" s="17"/>
      <x:c r="M232" s="17"/>
      <x:c r="N232" s="17"/>
    </x:row>
    <x:row r="233" ht="21" customHeight="1">
      <x:c r="A233" s="27" t="d">
        <x:v>2026-02-13T00:00:00.000Z</x:v>
      </x:c>
      <x:c r="B233" s="22" t="n">
        <x:f>SUMIFS('Cash'!$C$5:$C$97,'Cash'!$A$5:$A$97,"&lt;="&amp;A233)</x:f>
        <x:v>0</x:v>
      </x:c>
      <x:c r="C233" s="22" t="n">
        <x:f>SUMIFS('Cash'!$C$5:$C$97,'Cash'!$A$5:$A$97,A233)</x:f>
        <x:v>0</x:v>
      </x:c>
      <x:c r="D233" s="22" t="n">
        <x:f>SUMIFS('Cash'!$C$5:$C$97,'Cash'!$A$5:$A$97,"&lt;="&amp;A233,'Cash'!$B$5:$B$97,"EXTERNAL_FUNDING")</x:f>
        <x:v>48752426</x:v>
      </x:c>
      <x:c r="E233" s="22" t="n">
        <x:f>SUMIFS('Cash'!$C$5:$C$97,'Cash'!$A$5:$A$97,"&lt;="&amp;A233,'Cash'!$B$5:$B$97,"DIVIDEND_NET")</x:f>
        <x:v>137750</x:v>
      </x:c>
      <x:c r="F233" s="30" t="str">
        <x:v>n.a.</x:v>
      </x:c>
      <x:c r="G233" s="30" t="str">
        <x:v>n.a.</x:v>
      </x:c>
      <x:c r="H233" s="30" t="str">
        <x:v>n.a.</x:v>
      </x:c>
      <x:c r="I233" s="30" t="str">
        <x:f>IF(COUNT(B233,F233:H233)=4,B233+F233+G233-H233,"n.a.")</x:f>
        <x:v>n.a.</x:v>
      </x:c>
      <x:c r="J233" s="30" t="str">
        <x:v>n.a.</x:v>
      </x:c>
      <x:c r="K233" s="17"/>
      <x:c r="L233" s="17"/>
      <x:c r="M233" s="17"/>
      <x:c r="N233" s="17"/>
    </x:row>
    <x:row r="234" ht="21" customHeight="1">
      <x:c r="A234" s="27" t="d">
        <x:v>2026-02-14T00:00:00.000Z</x:v>
      </x:c>
      <x:c r="B234" s="22" t="n">
        <x:f>SUMIFS('Cash'!$C$5:$C$97,'Cash'!$A$5:$A$97,"&lt;="&amp;A234)</x:f>
        <x:v>0</x:v>
      </x:c>
      <x:c r="C234" s="22" t="n">
        <x:f>SUMIFS('Cash'!$C$5:$C$97,'Cash'!$A$5:$A$97,A234)</x:f>
        <x:v>0</x:v>
      </x:c>
      <x:c r="D234" s="22" t="n">
        <x:f>SUMIFS('Cash'!$C$5:$C$97,'Cash'!$A$5:$A$97,"&lt;="&amp;A234,'Cash'!$B$5:$B$97,"EXTERNAL_FUNDING")</x:f>
        <x:v>48752426</x:v>
      </x:c>
      <x:c r="E234" s="22" t="n">
        <x:f>SUMIFS('Cash'!$C$5:$C$97,'Cash'!$A$5:$A$97,"&lt;="&amp;A234,'Cash'!$B$5:$B$97,"DIVIDEND_NET")</x:f>
        <x:v>137750</x:v>
      </x:c>
      <x:c r="F234" s="30" t="str">
        <x:v>n.a.</x:v>
      </x:c>
      <x:c r="G234" s="30" t="str">
        <x:v>n.a.</x:v>
      </x:c>
      <x:c r="H234" s="30" t="str">
        <x:v>n.a.</x:v>
      </x:c>
      <x:c r="I234" s="30" t="str">
        <x:f>IF(COUNT(B234,F234:H234)=4,B234+F234+G234-H234,"n.a.")</x:f>
        <x:v>n.a.</x:v>
      </x:c>
      <x:c r="J234" s="30" t="str">
        <x:v>n.a.</x:v>
      </x:c>
      <x:c r="K234" s="17"/>
      <x:c r="L234" s="17"/>
      <x:c r="M234" s="17"/>
      <x:c r="N234" s="17"/>
    </x:row>
    <x:row r="235" ht="21" customHeight="1">
      <x:c r="A235" s="27" t="d">
        <x:v>2026-02-15T00:00:00.000Z</x:v>
      </x:c>
      <x:c r="B235" s="22" t="n">
        <x:f>SUMIFS('Cash'!$C$5:$C$97,'Cash'!$A$5:$A$97,"&lt;="&amp;A235)</x:f>
        <x:v>0</x:v>
      </x:c>
      <x:c r="C235" s="22" t="n">
        <x:f>SUMIFS('Cash'!$C$5:$C$97,'Cash'!$A$5:$A$97,A235)</x:f>
        <x:v>0</x:v>
      </x:c>
      <x:c r="D235" s="22" t="n">
        <x:f>SUMIFS('Cash'!$C$5:$C$97,'Cash'!$A$5:$A$97,"&lt;="&amp;A235,'Cash'!$B$5:$B$97,"EXTERNAL_FUNDING")</x:f>
        <x:v>48752426</x:v>
      </x:c>
      <x:c r="E235" s="22" t="n">
        <x:f>SUMIFS('Cash'!$C$5:$C$97,'Cash'!$A$5:$A$97,"&lt;="&amp;A235,'Cash'!$B$5:$B$97,"DIVIDEND_NET")</x:f>
        <x:v>137750</x:v>
      </x:c>
      <x:c r="F235" s="30" t="str">
        <x:v>n.a.</x:v>
      </x:c>
      <x:c r="G235" s="30" t="str">
        <x:v>n.a.</x:v>
      </x:c>
      <x:c r="H235" s="30" t="str">
        <x:v>n.a.</x:v>
      </x:c>
      <x:c r="I235" s="30" t="str">
        <x:f>IF(COUNT(B235,F235:H235)=4,B235+F235+G235-H235,"n.a.")</x:f>
        <x:v>n.a.</x:v>
      </x:c>
      <x:c r="J235" s="30" t="str">
        <x:v>n.a.</x:v>
      </x:c>
      <x:c r="K235" s="17"/>
      <x:c r="L235" s="17"/>
      <x:c r="M235" s="17"/>
      <x:c r="N235" s="17"/>
    </x:row>
    <x:row r="236" ht="21" customHeight="1">
      <x:c r="A236" s="27" t="d">
        <x:v>2026-02-16T00:00:00.000Z</x:v>
      </x:c>
      <x:c r="B236" s="22" t="n">
        <x:f>SUMIFS('Cash'!$C$5:$C$97,'Cash'!$A$5:$A$97,"&lt;="&amp;A236)</x:f>
        <x:v>0</x:v>
      </x:c>
      <x:c r="C236" s="22" t="n">
        <x:f>SUMIFS('Cash'!$C$5:$C$97,'Cash'!$A$5:$A$97,A236)</x:f>
        <x:v>0</x:v>
      </x:c>
      <x:c r="D236" s="22" t="n">
        <x:f>SUMIFS('Cash'!$C$5:$C$97,'Cash'!$A$5:$A$97,"&lt;="&amp;A236,'Cash'!$B$5:$B$97,"EXTERNAL_FUNDING")</x:f>
        <x:v>48752426</x:v>
      </x:c>
      <x:c r="E236" s="22" t="n">
        <x:f>SUMIFS('Cash'!$C$5:$C$97,'Cash'!$A$5:$A$97,"&lt;="&amp;A236,'Cash'!$B$5:$B$97,"DIVIDEND_NET")</x:f>
        <x:v>137750</x:v>
      </x:c>
      <x:c r="F236" s="30" t="str">
        <x:v>n.a.</x:v>
      </x:c>
      <x:c r="G236" s="30" t="str">
        <x:v>n.a.</x:v>
      </x:c>
      <x:c r="H236" s="30" t="str">
        <x:v>n.a.</x:v>
      </x:c>
      <x:c r="I236" s="30" t="str">
        <x:f>IF(COUNT(B236,F236:H236)=4,B236+F236+G236-H236,"n.a.")</x:f>
        <x:v>n.a.</x:v>
      </x:c>
      <x:c r="J236" s="30" t="str">
        <x:v>n.a.</x:v>
      </x:c>
      <x:c r="K236" s="17"/>
      <x:c r="L236" s="17"/>
      <x:c r="M236" s="17"/>
      <x:c r="N236" s="17"/>
    </x:row>
    <x:row r="237" ht="21" customHeight="1">
      <x:c r="A237" s="27" t="d">
        <x:v>2026-02-17T00:00:00.000Z</x:v>
      </x:c>
      <x:c r="B237" s="22" t="n">
        <x:f>SUMIFS('Cash'!$C$5:$C$97,'Cash'!$A$5:$A$97,"&lt;="&amp;A237)</x:f>
        <x:v>0</x:v>
      </x:c>
      <x:c r="C237" s="22" t="n">
        <x:f>SUMIFS('Cash'!$C$5:$C$97,'Cash'!$A$5:$A$97,A237)</x:f>
        <x:v>0</x:v>
      </x:c>
      <x:c r="D237" s="22" t="n">
        <x:f>SUMIFS('Cash'!$C$5:$C$97,'Cash'!$A$5:$A$97,"&lt;="&amp;A237,'Cash'!$B$5:$B$97,"EXTERNAL_FUNDING")</x:f>
        <x:v>48752426</x:v>
      </x:c>
      <x:c r="E237" s="22" t="n">
        <x:f>SUMIFS('Cash'!$C$5:$C$97,'Cash'!$A$5:$A$97,"&lt;="&amp;A237,'Cash'!$B$5:$B$97,"DIVIDEND_NET")</x:f>
        <x:v>137750</x:v>
      </x:c>
      <x:c r="F237" s="30" t="str">
        <x:v>n.a.</x:v>
      </x:c>
      <x:c r="G237" s="30" t="str">
        <x:v>n.a.</x:v>
      </x:c>
      <x:c r="H237" s="30" t="str">
        <x:v>n.a.</x:v>
      </x:c>
      <x:c r="I237" s="30" t="str">
        <x:f>IF(COUNT(B237,F237:H237)=4,B237+F237+G237-H237,"n.a.")</x:f>
        <x:v>n.a.</x:v>
      </x:c>
      <x:c r="J237" s="30" t="str">
        <x:v>n.a.</x:v>
      </x:c>
      <x:c r="K237" s="17"/>
      <x:c r="L237" s="17"/>
      <x:c r="M237" s="17"/>
      <x:c r="N237" s="17"/>
    </x:row>
    <x:row r="238" ht="21" customHeight="1">
      <x:c r="A238" s="27" t="d">
        <x:v>2026-02-18T00:00:00.000Z</x:v>
      </x:c>
      <x:c r="B238" s="22" t="n">
        <x:f>SUMIFS('Cash'!$C$5:$C$97,'Cash'!$A$5:$A$97,"&lt;="&amp;A238)</x:f>
        <x:v>0</x:v>
      </x:c>
      <x:c r="C238" s="22" t="n">
        <x:f>SUMIFS('Cash'!$C$5:$C$97,'Cash'!$A$5:$A$97,A238)</x:f>
        <x:v>0</x:v>
      </x:c>
      <x:c r="D238" s="22" t="n">
        <x:f>SUMIFS('Cash'!$C$5:$C$97,'Cash'!$A$5:$A$97,"&lt;="&amp;A238,'Cash'!$B$5:$B$97,"EXTERNAL_FUNDING")</x:f>
        <x:v>48752426</x:v>
      </x:c>
      <x:c r="E238" s="22" t="n">
        <x:f>SUMIFS('Cash'!$C$5:$C$97,'Cash'!$A$5:$A$97,"&lt;="&amp;A238,'Cash'!$B$5:$B$97,"DIVIDEND_NET")</x:f>
        <x:v>137750</x:v>
      </x:c>
      <x:c r="F238" s="30" t="str">
        <x:v>n.a.</x:v>
      </x:c>
      <x:c r="G238" s="30" t="str">
        <x:v>n.a.</x:v>
      </x:c>
      <x:c r="H238" s="30" t="str">
        <x:v>n.a.</x:v>
      </x:c>
      <x:c r="I238" s="30" t="str">
        <x:f>IF(COUNT(B238,F238:H238)=4,B238+F238+G238-H238,"n.a.")</x:f>
        <x:v>n.a.</x:v>
      </x:c>
      <x:c r="J238" s="30" t="str">
        <x:v>n.a.</x:v>
      </x:c>
      <x:c r="K238" s="17"/>
      <x:c r="L238" s="17"/>
      <x:c r="M238" s="17"/>
      <x:c r="N238" s="17"/>
    </x:row>
    <x:row r="239" ht="21" customHeight="1">
      <x:c r="A239" s="27" t="d">
        <x:v>2026-02-19T00:00:00.000Z</x:v>
      </x:c>
      <x:c r="B239" s="22" t="n">
        <x:f>SUMIFS('Cash'!$C$5:$C$97,'Cash'!$A$5:$A$97,"&lt;="&amp;A239)</x:f>
        <x:v>0</x:v>
      </x:c>
      <x:c r="C239" s="22" t="n">
        <x:f>SUMIFS('Cash'!$C$5:$C$97,'Cash'!$A$5:$A$97,A239)</x:f>
        <x:v>0</x:v>
      </x:c>
      <x:c r="D239" s="22" t="n">
        <x:f>SUMIFS('Cash'!$C$5:$C$97,'Cash'!$A$5:$A$97,"&lt;="&amp;A239,'Cash'!$B$5:$B$97,"EXTERNAL_FUNDING")</x:f>
        <x:v>48752426</x:v>
      </x:c>
      <x:c r="E239" s="22" t="n">
        <x:f>SUMIFS('Cash'!$C$5:$C$97,'Cash'!$A$5:$A$97,"&lt;="&amp;A239,'Cash'!$B$5:$B$97,"DIVIDEND_NET")</x:f>
        <x:v>137750</x:v>
      </x:c>
      <x:c r="F239" s="30" t="str">
        <x:v>n.a.</x:v>
      </x:c>
      <x:c r="G239" s="30" t="str">
        <x:v>n.a.</x:v>
      </x:c>
      <x:c r="H239" s="30" t="str">
        <x:v>n.a.</x:v>
      </x:c>
      <x:c r="I239" s="30" t="str">
        <x:f>IF(COUNT(B239,F239:H239)=4,B239+F239+G239-H239,"n.a.")</x:f>
        <x:v>n.a.</x:v>
      </x:c>
      <x:c r="J239" s="30" t="str">
        <x:v>n.a.</x:v>
      </x:c>
      <x:c r="K239" s="17"/>
      <x:c r="L239" s="17"/>
      <x:c r="M239" s="17"/>
      <x:c r="N239" s="17"/>
    </x:row>
    <x:row r="240" ht="21" customHeight="1">
      <x:c r="A240" s="27" t="d">
        <x:v>2026-02-20T00:00:00.000Z</x:v>
      </x:c>
      <x:c r="B240" s="22" t="n">
        <x:f>SUMIFS('Cash'!$C$5:$C$97,'Cash'!$A$5:$A$97,"&lt;="&amp;A240)</x:f>
        <x:v>0</x:v>
      </x:c>
      <x:c r="C240" s="22" t="n">
        <x:f>SUMIFS('Cash'!$C$5:$C$97,'Cash'!$A$5:$A$97,A240)</x:f>
        <x:v>0</x:v>
      </x:c>
      <x:c r="D240" s="22" t="n">
        <x:f>SUMIFS('Cash'!$C$5:$C$97,'Cash'!$A$5:$A$97,"&lt;="&amp;A240,'Cash'!$B$5:$B$97,"EXTERNAL_FUNDING")</x:f>
        <x:v>48752426</x:v>
      </x:c>
      <x:c r="E240" s="22" t="n">
        <x:f>SUMIFS('Cash'!$C$5:$C$97,'Cash'!$A$5:$A$97,"&lt;="&amp;A240,'Cash'!$B$5:$B$97,"DIVIDEND_NET")</x:f>
        <x:v>137750</x:v>
      </x:c>
      <x:c r="F240" s="30" t="str">
        <x:v>n.a.</x:v>
      </x:c>
      <x:c r="G240" s="30" t="str">
        <x:v>n.a.</x:v>
      </x:c>
      <x:c r="H240" s="30" t="str">
        <x:v>n.a.</x:v>
      </x:c>
      <x:c r="I240" s="30" t="str">
        <x:f>IF(COUNT(B240,F240:H240)=4,B240+F240+G240-H240,"n.a.")</x:f>
        <x:v>n.a.</x:v>
      </x:c>
      <x:c r="J240" s="30" t="str">
        <x:v>n.a.</x:v>
      </x:c>
      <x:c r="K240" s="17"/>
      <x:c r="L240" s="17"/>
      <x:c r="M240" s="17"/>
      <x:c r="N240" s="17"/>
    </x:row>
    <x:row r="241" ht="21" customHeight="1">
      <x:c r="A241" s="27" t="d">
        <x:v>2026-02-21T00:00:00.000Z</x:v>
      </x:c>
      <x:c r="B241" s="22" t="n">
        <x:f>SUMIFS('Cash'!$C$5:$C$97,'Cash'!$A$5:$A$97,"&lt;="&amp;A241)</x:f>
        <x:v>0</x:v>
      </x:c>
      <x:c r="C241" s="22" t="n">
        <x:f>SUMIFS('Cash'!$C$5:$C$97,'Cash'!$A$5:$A$97,A241)</x:f>
        <x:v>0</x:v>
      </x:c>
      <x:c r="D241" s="22" t="n">
        <x:f>SUMIFS('Cash'!$C$5:$C$97,'Cash'!$A$5:$A$97,"&lt;="&amp;A241,'Cash'!$B$5:$B$97,"EXTERNAL_FUNDING")</x:f>
        <x:v>48752426</x:v>
      </x:c>
      <x:c r="E241" s="22" t="n">
        <x:f>SUMIFS('Cash'!$C$5:$C$97,'Cash'!$A$5:$A$97,"&lt;="&amp;A241,'Cash'!$B$5:$B$97,"DIVIDEND_NET")</x:f>
        <x:v>137750</x:v>
      </x:c>
      <x:c r="F241" s="30" t="str">
        <x:v>n.a.</x:v>
      </x:c>
      <x:c r="G241" s="30" t="str">
        <x:v>n.a.</x:v>
      </x:c>
      <x:c r="H241" s="30" t="str">
        <x:v>n.a.</x:v>
      </x:c>
      <x:c r="I241" s="30" t="str">
        <x:f>IF(COUNT(B241,F241:H241)=4,B241+F241+G241-H241,"n.a.")</x:f>
        <x:v>n.a.</x:v>
      </x:c>
      <x:c r="J241" s="30" t="str">
        <x:v>n.a.</x:v>
      </x:c>
      <x:c r="K241" s="17"/>
      <x:c r="L241" s="17"/>
      <x:c r="M241" s="17"/>
      <x:c r="N241" s="17"/>
    </x:row>
    <x:row r="242" ht="21" customHeight="1">
      <x:c r="A242" s="27" t="d">
        <x:v>2026-02-22T00:00:00.000Z</x:v>
      </x:c>
      <x:c r="B242" s="22" t="n">
        <x:f>SUMIFS('Cash'!$C$5:$C$97,'Cash'!$A$5:$A$97,"&lt;="&amp;A242)</x:f>
        <x:v>0</x:v>
      </x:c>
      <x:c r="C242" s="22" t="n">
        <x:f>SUMIFS('Cash'!$C$5:$C$97,'Cash'!$A$5:$A$97,A242)</x:f>
        <x:v>0</x:v>
      </x:c>
      <x:c r="D242" s="22" t="n">
        <x:f>SUMIFS('Cash'!$C$5:$C$97,'Cash'!$A$5:$A$97,"&lt;="&amp;A242,'Cash'!$B$5:$B$97,"EXTERNAL_FUNDING")</x:f>
        <x:v>48752426</x:v>
      </x:c>
      <x:c r="E242" s="22" t="n">
        <x:f>SUMIFS('Cash'!$C$5:$C$97,'Cash'!$A$5:$A$97,"&lt;="&amp;A242,'Cash'!$B$5:$B$97,"DIVIDEND_NET")</x:f>
        <x:v>137750</x:v>
      </x:c>
      <x:c r="F242" s="30" t="str">
        <x:v>n.a.</x:v>
      </x:c>
      <x:c r="G242" s="30" t="str">
        <x:v>n.a.</x:v>
      </x:c>
      <x:c r="H242" s="30" t="str">
        <x:v>n.a.</x:v>
      </x:c>
      <x:c r="I242" s="30" t="str">
        <x:f>IF(COUNT(B242,F242:H242)=4,B242+F242+G242-H242,"n.a.")</x:f>
        <x:v>n.a.</x:v>
      </x:c>
      <x:c r="J242" s="30" t="str">
        <x:v>n.a.</x:v>
      </x:c>
      <x:c r="K242" s="17"/>
      <x:c r="L242" s="17"/>
      <x:c r="M242" s="17"/>
      <x:c r="N242" s="17"/>
    </x:row>
    <x:row r="243" ht="21" customHeight="1">
      <x:c r="A243" s="27" t="d">
        <x:v>2026-02-23T00:00:00.000Z</x:v>
      </x:c>
      <x:c r="B243" s="22" t="n">
        <x:f>SUMIFS('Cash'!$C$5:$C$97,'Cash'!$A$5:$A$97,"&lt;="&amp;A243)</x:f>
        <x:v>0</x:v>
      </x:c>
      <x:c r="C243" s="22" t="n">
        <x:f>SUMIFS('Cash'!$C$5:$C$97,'Cash'!$A$5:$A$97,A243)</x:f>
        <x:v>0</x:v>
      </x:c>
      <x:c r="D243" s="22" t="n">
        <x:f>SUMIFS('Cash'!$C$5:$C$97,'Cash'!$A$5:$A$97,"&lt;="&amp;A243,'Cash'!$B$5:$B$97,"EXTERNAL_FUNDING")</x:f>
        <x:v>48752426</x:v>
      </x:c>
      <x:c r="E243" s="22" t="n">
        <x:f>SUMIFS('Cash'!$C$5:$C$97,'Cash'!$A$5:$A$97,"&lt;="&amp;A243,'Cash'!$B$5:$B$97,"DIVIDEND_NET")</x:f>
        <x:v>137750</x:v>
      </x:c>
      <x:c r="F243" s="30" t="str">
        <x:v>n.a.</x:v>
      </x:c>
      <x:c r="G243" s="30" t="str">
        <x:v>n.a.</x:v>
      </x:c>
      <x:c r="H243" s="30" t="str">
        <x:v>n.a.</x:v>
      </x:c>
      <x:c r="I243" s="30" t="str">
        <x:f>IF(COUNT(B243,F243:H243)=4,B243+F243+G243-H243,"n.a.")</x:f>
        <x:v>n.a.</x:v>
      </x:c>
      <x:c r="J243" s="30" t="str">
        <x:v>n.a.</x:v>
      </x:c>
      <x:c r="K243" s="17"/>
      <x:c r="L243" s="17"/>
      <x:c r="M243" s="17"/>
      <x:c r="N243" s="17"/>
    </x:row>
    <x:row r="244" ht="21" customHeight="1">
      <x:c r="A244" s="27" t="d">
        <x:v>2026-02-24T00:00:00.000Z</x:v>
      </x:c>
      <x:c r="B244" s="22" t="n">
        <x:f>SUMIFS('Cash'!$C$5:$C$97,'Cash'!$A$5:$A$97,"&lt;="&amp;A244)</x:f>
        <x:v>0</x:v>
      </x:c>
      <x:c r="C244" s="22" t="n">
        <x:f>SUMIFS('Cash'!$C$5:$C$97,'Cash'!$A$5:$A$97,A244)</x:f>
        <x:v>0</x:v>
      </x:c>
      <x:c r="D244" s="22" t="n">
        <x:f>SUMIFS('Cash'!$C$5:$C$97,'Cash'!$A$5:$A$97,"&lt;="&amp;A244,'Cash'!$B$5:$B$97,"EXTERNAL_FUNDING")</x:f>
        <x:v>48752426</x:v>
      </x:c>
      <x:c r="E244" s="22" t="n">
        <x:f>SUMIFS('Cash'!$C$5:$C$97,'Cash'!$A$5:$A$97,"&lt;="&amp;A244,'Cash'!$B$5:$B$97,"DIVIDEND_NET")</x:f>
        <x:v>137750</x:v>
      </x:c>
      <x:c r="F244" s="30" t="str">
        <x:v>n.a.</x:v>
      </x:c>
      <x:c r="G244" s="30" t="str">
        <x:v>n.a.</x:v>
      </x:c>
      <x:c r="H244" s="30" t="str">
        <x:v>n.a.</x:v>
      </x:c>
      <x:c r="I244" s="30" t="str">
        <x:f>IF(COUNT(B244,F244:H244)=4,B244+F244+G244-H244,"n.a.")</x:f>
        <x:v>n.a.</x:v>
      </x:c>
      <x:c r="J244" s="30" t="str">
        <x:v>n.a.</x:v>
      </x:c>
      <x:c r="K244" s="17"/>
      <x:c r="L244" s="17"/>
      <x:c r="M244" s="17"/>
      <x:c r="N244" s="17"/>
    </x:row>
    <x:row r="245" ht="21" customHeight="1">
      <x:c r="A245" s="27" t="d">
        <x:v>2026-02-25T00:00:00.000Z</x:v>
      </x:c>
      <x:c r="B245" s="22" t="n">
        <x:f>SUMIFS('Cash'!$C$5:$C$97,'Cash'!$A$5:$A$97,"&lt;="&amp;A245)</x:f>
        <x:v>0</x:v>
      </x:c>
      <x:c r="C245" s="22" t="n">
        <x:f>SUMIFS('Cash'!$C$5:$C$97,'Cash'!$A$5:$A$97,A245)</x:f>
        <x:v>0</x:v>
      </x:c>
      <x:c r="D245" s="22" t="n">
        <x:f>SUMIFS('Cash'!$C$5:$C$97,'Cash'!$A$5:$A$97,"&lt;="&amp;A245,'Cash'!$B$5:$B$97,"EXTERNAL_FUNDING")</x:f>
        <x:v>48752426</x:v>
      </x:c>
      <x:c r="E245" s="22" t="n">
        <x:f>SUMIFS('Cash'!$C$5:$C$97,'Cash'!$A$5:$A$97,"&lt;="&amp;A245,'Cash'!$B$5:$B$97,"DIVIDEND_NET")</x:f>
        <x:v>137750</x:v>
      </x:c>
      <x:c r="F245" s="30" t="str">
        <x:v>n.a.</x:v>
      </x:c>
      <x:c r="G245" s="30" t="str">
        <x:v>n.a.</x:v>
      </x:c>
      <x:c r="H245" s="30" t="str">
        <x:v>n.a.</x:v>
      </x:c>
      <x:c r="I245" s="30" t="str">
        <x:f>IF(COUNT(B245,F245:H245)=4,B245+F245+G245-H245,"n.a.")</x:f>
        <x:v>n.a.</x:v>
      </x:c>
      <x:c r="J245" s="30" t="str">
        <x:v>n.a.</x:v>
      </x:c>
      <x:c r="K245" s="17"/>
      <x:c r="L245" s="17"/>
      <x:c r="M245" s="17"/>
      <x:c r="N245" s="17"/>
    </x:row>
    <x:row r="246" ht="21" customHeight="1">
      <x:c r="A246" s="27" t="d">
        <x:v>2026-02-26T00:00:00.000Z</x:v>
      </x:c>
      <x:c r="B246" s="22" t="n">
        <x:f>SUMIFS('Cash'!$C$5:$C$97,'Cash'!$A$5:$A$97,"&lt;="&amp;A246)</x:f>
        <x:v>0</x:v>
      </x:c>
      <x:c r="C246" s="22" t="n">
        <x:f>SUMIFS('Cash'!$C$5:$C$97,'Cash'!$A$5:$A$97,A246)</x:f>
        <x:v>0</x:v>
      </x:c>
      <x:c r="D246" s="22" t="n">
        <x:f>SUMIFS('Cash'!$C$5:$C$97,'Cash'!$A$5:$A$97,"&lt;="&amp;A246,'Cash'!$B$5:$B$97,"EXTERNAL_FUNDING")</x:f>
        <x:v>48752426</x:v>
      </x:c>
      <x:c r="E246" s="22" t="n">
        <x:f>SUMIFS('Cash'!$C$5:$C$97,'Cash'!$A$5:$A$97,"&lt;="&amp;A246,'Cash'!$B$5:$B$97,"DIVIDEND_NET")</x:f>
        <x:v>137750</x:v>
      </x:c>
      <x:c r="F246" s="30" t="str">
        <x:v>n.a.</x:v>
      </x:c>
      <x:c r="G246" s="30" t="str">
        <x:v>n.a.</x:v>
      </x:c>
      <x:c r="H246" s="30" t="str">
        <x:v>n.a.</x:v>
      </x:c>
      <x:c r="I246" s="30" t="str">
        <x:f>IF(COUNT(B246,F246:H246)=4,B246+F246+G246-H246,"n.a.")</x:f>
        <x:v>n.a.</x:v>
      </x:c>
      <x:c r="J246" s="30" t="str">
        <x:v>n.a.</x:v>
      </x:c>
      <x:c r="K246" s="17"/>
      <x:c r="L246" s="17"/>
      <x:c r="M246" s="17"/>
      <x:c r="N246" s="17"/>
    </x:row>
    <x:row r="247" ht="21" customHeight="1">
      <x:c r="A247" s="27" t="d">
        <x:v>2026-02-27T00:00:00.000Z</x:v>
      </x:c>
      <x:c r="B247" s="22" t="n">
        <x:f>SUMIFS('Cash'!$C$5:$C$97,'Cash'!$A$5:$A$97,"&lt;="&amp;A247)</x:f>
        <x:v>0</x:v>
      </x:c>
      <x:c r="C247" s="22" t="n">
        <x:f>SUMIFS('Cash'!$C$5:$C$97,'Cash'!$A$5:$A$97,A247)</x:f>
        <x:v>0</x:v>
      </x:c>
      <x:c r="D247" s="22" t="n">
        <x:f>SUMIFS('Cash'!$C$5:$C$97,'Cash'!$A$5:$A$97,"&lt;="&amp;A247,'Cash'!$B$5:$B$97,"EXTERNAL_FUNDING")</x:f>
        <x:v>48752426</x:v>
      </x:c>
      <x:c r="E247" s="22" t="n">
        <x:f>SUMIFS('Cash'!$C$5:$C$97,'Cash'!$A$5:$A$97,"&lt;="&amp;A247,'Cash'!$B$5:$B$97,"DIVIDEND_NET")</x:f>
        <x:v>137750</x:v>
      </x:c>
      <x:c r="F247" s="30" t="str">
        <x:v>n.a.</x:v>
      </x:c>
      <x:c r="G247" s="30" t="str">
        <x:v>n.a.</x:v>
      </x:c>
      <x:c r="H247" s="30" t="str">
        <x:v>n.a.</x:v>
      </x:c>
      <x:c r="I247" s="30" t="str">
        <x:f>IF(COUNT(B247,F247:H247)=4,B247+F247+G247-H247,"n.a.")</x:f>
        <x:v>n.a.</x:v>
      </x:c>
      <x:c r="J247" s="30" t="str">
        <x:v>n.a.</x:v>
      </x:c>
      <x:c r="K247" s="17"/>
      <x:c r="L247" s="17"/>
      <x:c r="M247" s="17"/>
      <x:c r="N247" s="17"/>
    </x:row>
    <x:row r="248" ht="21" customHeight="1">
      <x:c r="A248" s="27" t="d">
        <x:v>2026-02-28T00:00:00.000Z</x:v>
      </x:c>
      <x:c r="B248" s="22" t="n">
        <x:f>SUMIFS('Cash'!$C$5:$C$97,'Cash'!$A$5:$A$97,"&lt;="&amp;A248)</x:f>
        <x:v>0</x:v>
      </x:c>
      <x:c r="C248" s="22" t="n">
        <x:f>SUMIFS('Cash'!$C$5:$C$97,'Cash'!$A$5:$A$97,A248)</x:f>
        <x:v>0</x:v>
      </x:c>
      <x:c r="D248" s="22" t="n">
        <x:f>SUMIFS('Cash'!$C$5:$C$97,'Cash'!$A$5:$A$97,"&lt;="&amp;A248,'Cash'!$B$5:$B$97,"EXTERNAL_FUNDING")</x:f>
        <x:v>48752426</x:v>
      </x:c>
      <x:c r="E248" s="22" t="n">
        <x:f>SUMIFS('Cash'!$C$5:$C$97,'Cash'!$A$5:$A$97,"&lt;="&amp;A248,'Cash'!$B$5:$B$97,"DIVIDEND_NET")</x:f>
        <x:v>137750</x:v>
      </x:c>
      <x:c r="F248" s="30" t="str">
        <x:v>n.a.</x:v>
      </x:c>
      <x:c r="G248" s="30" t="str">
        <x:v>n.a.</x:v>
      </x:c>
      <x:c r="H248" s="30" t="str">
        <x:v>n.a.</x:v>
      </x:c>
      <x:c r="I248" s="30" t="str">
        <x:f>IF(COUNT(B248,F248:H248)=4,B248+F248+G248-H248,"n.a.")</x:f>
        <x:v>n.a.</x:v>
      </x:c>
      <x:c r="J248" s="30" t="str">
        <x:v>n.a.</x:v>
      </x:c>
      <x:c r="K248" s="17"/>
      <x:c r="L248" s="17"/>
      <x:c r="M248" s="17"/>
      <x:c r="N248" s="17"/>
    </x:row>
    <x:row r="249" ht="21" customHeight="1">
      <x:c r="A249" s="27" t="d">
        <x:v>2026-03-01T00:00:00.000Z</x:v>
      </x:c>
      <x:c r="B249" s="22" t="n">
        <x:f>SUMIFS('Cash'!$C$5:$C$97,'Cash'!$A$5:$A$97,"&lt;="&amp;A249)</x:f>
        <x:v>0</x:v>
      </x:c>
      <x:c r="C249" s="22" t="n">
        <x:f>SUMIFS('Cash'!$C$5:$C$97,'Cash'!$A$5:$A$97,A249)</x:f>
        <x:v>0</x:v>
      </x:c>
      <x:c r="D249" s="22" t="n">
        <x:f>SUMIFS('Cash'!$C$5:$C$97,'Cash'!$A$5:$A$97,"&lt;="&amp;A249,'Cash'!$B$5:$B$97,"EXTERNAL_FUNDING")</x:f>
        <x:v>48752426</x:v>
      </x:c>
      <x:c r="E249" s="22" t="n">
        <x:f>SUMIFS('Cash'!$C$5:$C$97,'Cash'!$A$5:$A$97,"&lt;="&amp;A249,'Cash'!$B$5:$B$97,"DIVIDEND_NET")</x:f>
        <x:v>137750</x:v>
      </x:c>
      <x:c r="F249" s="30" t="str">
        <x:v>n.a.</x:v>
      </x:c>
      <x:c r="G249" s="30" t="str">
        <x:v>n.a.</x:v>
      </x:c>
      <x:c r="H249" s="30" t="str">
        <x:v>n.a.</x:v>
      </x:c>
      <x:c r="I249" s="30" t="str">
        <x:f>IF(COUNT(B249,F249:H249)=4,B249+F249+G249-H249,"n.a.")</x:f>
        <x:v>n.a.</x:v>
      </x:c>
      <x:c r="J249" s="30" t="str">
        <x:v>n.a.</x:v>
      </x:c>
      <x:c r="K249" s="17"/>
      <x:c r="L249" s="17"/>
      <x:c r="M249" s="17"/>
      <x:c r="N249" s="17"/>
    </x:row>
    <x:row r="250" ht="21" customHeight="1">
      <x:c r="A250" s="27" t="d">
        <x:v>2026-03-02T00:00:00.000Z</x:v>
      </x:c>
      <x:c r="B250" s="22" t="n">
        <x:f>SUMIFS('Cash'!$C$5:$C$97,'Cash'!$A$5:$A$97,"&lt;="&amp;A250)</x:f>
        <x:v>0</x:v>
      </x:c>
      <x:c r="C250" s="22" t="n">
        <x:f>SUMIFS('Cash'!$C$5:$C$97,'Cash'!$A$5:$A$97,A250)</x:f>
        <x:v>0</x:v>
      </x:c>
      <x:c r="D250" s="22" t="n">
        <x:f>SUMIFS('Cash'!$C$5:$C$97,'Cash'!$A$5:$A$97,"&lt;="&amp;A250,'Cash'!$B$5:$B$97,"EXTERNAL_FUNDING")</x:f>
        <x:v>48752426</x:v>
      </x:c>
      <x:c r="E250" s="22" t="n">
        <x:f>SUMIFS('Cash'!$C$5:$C$97,'Cash'!$A$5:$A$97,"&lt;="&amp;A250,'Cash'!$B$5:$B$97,"DIVIDEND_NET")</x:f>
        <x:v>137750</x:v>
      </x:c>
      <x:c r="F250" s="30" t="str">
        <x:v>n.a.</x:v>
      </x:c>
      <x:c r="G250" s="30" t="str">
        <x:v>n.a.</x:v>
      </x:c>
      <x:c r="H250" s="30" t="str">
        <x:v>n.a.</x:v>
      </x:c>
      <x:c r="I250" s="30" t="str">
        <x:f>IF(COUNT(B250,F250:H250)=4,B250+F250+G250-H250,"n.a.")</x:f>
        <x:v>n.a.</x:v>
      </x:c>
      <x:c r="J250" s="30" t="str">
        <x:v>n.a.</x:v>
      </x:c>
      <x:c r="K250" s="17"/>
      <x:c r="L250" s="17"/>
      <x:c r="M250" s="17"/>
      <x:c r="N250" s="17"/>
    </x:row>
    <x:row r="251" ht="21" customHeight="1">
      <x:c r="A251" s="27" t="d">
        <x:v>2026-03-03T00:00:00.000Z</x:v>
      </x:c>
      <x:c r="B251" s="22" t="n">
        <x:f>SUMIFS('Cash'!$C$5:$C$97,'Cash'!$A$5:$A$97,"&lt;="&amp;A251)</x:f>
        <x:v>0</x:v>
      </x:c>
      <x:c r="C251" s="22" t="n">
        <x:f>SUMIFS('Cash'!$C$5:$C$97,'Cash'!$A$5:$A$97,A251)</x:f>
        <x:v>0</x:v>
      </x:c>
      <x:c r="D251" s="22" t="n">
        <x:f>SUMIFS('Cash'!$C$5:$C$97,'Cash'!$A$5:$A$97,"&lt;="&amp;A251,'Cash'!$B$5:$B$97,"EXTERNAL_FUNDING")</x:f>
        <x:v>48752426</x:v>
      </x:c>
      <x:c r="E251" s="22" t="n">
        <x:f>SUMIFS('Cash'!$C$5:$C$97,'Cash'!$A$5:$A$97,"&lt;="&amp;A251,'Cash'!$B$5:$B$97,"DIVIDEND_NET")</x:f>
        <x:v>137750</x:v>
      </x:c>
      <x:c r="F251" s="30" t="str">
        <x:v>n.a.</x:v>
      </x:c>
      <x:c r="G251" s="30" t="str">
        <x:v>n.a.</x:v>
      </x:c>
      <x:c r="H251" s="30" t="str">
        <x:v>n.a.</x:v>
      </x:c>
      <x:c r="I251" s="30" t="str">
        <x:f>IF(COUNT(B251,F251:H251)=4,B251+F251+G251-H251,"n.a.")</x:f>
        <x:v>n.a.</x:v>
      </x:c>
      <x:c r="J251" s="30" t="str">
        <x:v>n.a.</x:v>
      </x:c>
      <x:c r="K251" s="17"/>
      <x:c r="L251" s="17"/>
      <x:c r="M251" s="17"/>
      <x:c r="N251" s="17"/>
    </x:row>
    <x:row r="252" ht="21" customHeight="1">
      <x:c r="A252" s="27" t="d">
        <x:v>2026-03-04T00:00:00.000Z</x:v>
      </x:c>
      <x:c r="B252" s="22" t="n">
        <x:f>SUMIFS('Cash'!$C$5:$C$97,'Cash'!$A$5:$A$97,"&lt;="&amp;A252)</x:f>
        <x:v>27</x:v>
      </x:c>
      <x:c r="C252" s="22" t="n">
        <x:f>SUMIFS('Cash'!$C$5:$C$97,'Cash'!$A$5:$A$97,A252)</x:f>
        <x:v>27</x:v>
      </x:c>
      <x:c r="D252" s="22" t="n">
        <x:f>SUMIFS('Cash'!$C$5:$C$97,'Cash'!$A$5:$A$97,"&lt;="&amp;A252,'Cash'!$B$5:$B$97,"EXTERNAL_FUNDING")</x:f>
        <x:v>48752795</x:v>
      </x:c>
      <x:c r="E252" s="22" t="n">
        <x:f>SUMIFS('Cash'!$C$5:$C$97,'Cash'!$A$5:$A$97,"&lt;="&amp;A252,'Cash'!$B$5:$B$97,"DIVIDEND_NET")</x:f>
        <x:v>137750</x:v>
      </x:c>
      <x:c r="F252" s="30" t="str">
        <x:v>n.a.</x:v>
      </x:c>
      <x:c r="G252" s="30" t="str">
        <x:v>n.a.</x:v>
      </x:c>
      <x:c r="H252" s="30" t="str">
        <x:v>n.a.</x:v>
      </x:c>
      <x:c r="I252" s="30" t="str">
        <x:f>IF(COUNT(B252,F252:H252)=4,B252+F252+G252-H252,"n.a.")</x:f>
        <x:v>n.a.</x:v>
      </x:c>
      <x:c r="J252" s="30" t="str">
        <x:v>n.a.</x:v>
      </x:c>
      <x:c r="K252" s="17"/>
      <x:c r="L252" s="17"/>
      <x:c r="M252" s="17"/>
      <x:c r="N252" s="17"/>
    </x:row>
    <x:row r="253" ht="21" customHeight="1">
      <x:c r="A253" s="27" t="d">
        <x:v>2026-03-05T00:00:00.000Z</x:v>
      </x:c>
      <x:c r="B253" s="22" t="n">
        <x:f>SUMIFS('Cash'!$C$5:$C$97,'Cash'!$A$5:$A$97,"&lt;="&amp;A253)</x:f>
        <x:v>36</x:v>
      </x:c>
      <x:c r="C253" s="22" t="n">
        <x:f>SUMIFS('Cash'!$C$5:$C$97,'Cash'!$A$5:$A$97,A253)</x:f>
        <x:v>9</x:v>
      </x:c>
      <x:c r="D253" s="22" t="n">
        <x:f>SUMIFS('Cash'!$C$5:$C$97,'Cash'!$A$5:$A$97,"&lt;="&amp;A253,'Cash'!$B$5:$B$97,"EXTERNAL_FUNDING")</x:f>
        <x:v>57285363</x:v>
      </x:c>
      <x:c r="E253" s="22" t="n">
        <x:f>SUMIFS('Cash'!$C$5:$C$97,'Cash'!$A$5:$A$97,"&lt;="&amp;A253,'Cash'!$B$5:$B$97,"DIVIDEND_NET")</x:f>
        <x:v>137750</x:v>
      </x:c>
      <x:c r="F253" s="30" t="str">
        <x:v>n.a.</x:v>
      </x:c>
      <x:c r="G253" s="30" t="str">
        <x:v>n.a.</x:v>
      </x:c>
      <x:c r="H253" s="30" t="str">
        <x:v>n.a.</x:v>
      </x:c>
      <x:c r="I253" s="30" t="str">
        <x:f>IF(COUNT(B253,F253:H253)=4,B253+F253+G253-H253,"n.a.")</x:f>
        <x:v>n.a.</x:v>
      </x:c>
      <x:c r="J253" s="30" t="str">
        <x:v>n.a.</x:v>
      </x:c>
      <x:c r="K253" s="17"/>
      <x:c r="L253" s="17"/>
      <x:c r="M253" s="17"/>
      <x:c r="N253" s="17"/>
    </x:row>
    <x:row r="254" ht="21" customHeight="1">
      <x:c r="A254" s="27" t="d">
        <x:v>2026-03-06T00:00:00.000Z</x:v>
      </x:c>
      <x:c r="B254" s="22" t="n">
        <x:f>SUMIFS('Cash'!$C$5:$C$97,'Cash'!$A$5:$A$97,"&lt;="&amp;A254)</x:f>
        <x:v>36</x:v>
      </x:c>
      <x:c r="C254" s="22" t="n">
        <x:f>SUMIFS('Cash'!$C$5:$C$97,'Cash'!$A$5:$A$97,A254)</x:f>
        <x:v>0</x:v>
      </x:c>
      <x:c r="D254" s="22" t="n">
        <x:f>SUMIFS('Cash'!$C$5:$C$97,'Cash'!$A$5:$A$97,"&lt;="&amp;A254,'Cash'!$B$5:$B$97,"EXTERNAL_FUNDING")</x:f>
        <x:v>57285363</x:v>
      </x:c>
      <x:c r="E254" s="22" t="n">
        <x:f>SUMIFS('Cash'!$C$5:$C$97,'Cash'!$A$5:$A$97,"&lt;="&amp;A254,'Cash'!$B$5:$B$97,"DIVIDEND_NET")</x:f>
        <x:v>137750</x:v>
      </x:c>
      <x:c r="F254" s="30" t="str">
        <x:v>n.a.</x:v>
      </x:c>
      <x:c r="G254" s="30" t="str">
        <x:v>n.a.</x:v>
      </x:c>
      <x:c r="H254" s="30" t="str">
        <x:v>n.a.</x:v>
      </x:c>
      <x:c r="I254" s="30" t="str">
        <x:f>IF(COUNT(B254,F254:H254)=4,B254+F254+G254-H254,"n.a.")</x:f>
        <x:v>n.a.</x:v>
      </x:c>
      <x:c r="J254" s="30" t="str">
        <x:v>n.a.</x:v>
      </x:c>
      <x:c r="K254" s="17"/>
      <x:c r="L254" s="17"/>
      <x:c r="M254" s="17"/>
      <x:c r="N254" s="17"/>
    </x:row>
    <x:row r="255" ht="21" customHeight="1">
      <x:c r="A255" s="27" t="d">
        <x:v>2026-03-07T00:00:00.000Z</x:v>
      </x:c>
      <x:c r="B255" s="22" t="n">
        <x:f>SUMIFS('Cash'!$C$5:$C$97,'Cash'!$A$5:$A$97,"&lt;="&amp;A255)</x:f>
        <x:v>36</x:v>
      </x:c>
      <x:c r="C255" s="22" t="n">
        <x:f>SUMIFS('Cash'!$C$5:$C$97,'Cash'!$A$5:$A$97,A255)</x:f>
        <x:v>0</x:v>
      </x:c>
      <x:c r="D255" s="22" t="n">
        <x:f>SUMIFS('Cash'!$C$5:$C$97,'Cash'!$A$5:$A$97,"&lt;="&amp;A255,'Cash'!$B$5:$B$97,"EXTERNAL_FUNDING")</x:f>
        <x:v>57285363</x:v>
      </x:c>
      <x:c r="E255" s="22" t="n">
        <x:f>SUMIFS('Cash'!$C$5:$C$97,'Cash'!$A$5:$A$97,"&lt;="&amp;A255,'Cash'!$B$5:$B$97,"DIVIDEND_NET")</x:f>
        <x:v>137750</x:v>
      </x:c>
      <x:c r="F255" s="30" t="str">
        <x:v>n.a.</x:v>
      </x:c>
      <x:c r="G255" s="30" t="str">
        <x:v>n.a.</x:v>
      </x:c>
      <x:c r="H255" s="30" t="str">
        <x:v>n.a.</x:v>
      </x:c>
      <x:c r="I255" s="30" t="str">
        <x:f>IF(COUNT(B255,F255:H255)=4,B255+F255+G255-H255,"n.a.")</x:f>
        <x:v>n.a.</x:v>
      </x:c>
      <x:c r="J255" s="30" t="str">
        <x:v>n.a.</x:v>
      </x:c>
      <x:c r="K255" s="17"/>
      <x:c r="L255" s="17"/>
      <x:c r="M255" s="17"/>
      <x:c r="N255" s="17"/>
    </x:row>
    <x:row r="256" ht="21" customHeight="1">
      <x:c r="A256" s="27" t="d">
        <x:v>2026-03-08T00:00:00.000Z</x:v>
      </x:c>
      <x:c r="B256" s="22" t="n">
        <x:f>SUMIFS('Cash'!$C$5:$C$97,'Cash'!$A$5:$A$97,"&lt;="&amp;A256)</x:f>
        <x:v>36</x:v>
      </x:c>
      <x:c r="C256" s="22" t="n">
        <x:f>SUMIFS('Cash'!$C$5:$C$97,'Cash'!$A$5:$A$97,A256)</x:f>
        <x:v>0</x:v>
      </x:c>
      <x:c r="D256" s="22" t="n">
        <x:f>SUMIFS('Cash'!$C$5:$C$97,'Cash'!$A$5:$A$97,"&lt;="&amp;A256,'Cash'!$B$5:$B$97,"EXTERNAL_FUNDING")</x:f>
        <x:v>57285363</x:v>
      </x:c>
      <x:c r="E256" s="22" t="n">
        <x:f>SUMIFS('Cash'!$C$5:$C$97,'Cash'!$A$5:$A$97,"&lt;="&amp;A256,'Cash'!$B$5:$B$97,"DIVIDEND_NET")</x:f>
        <x:v>137750</x:v>
      </x:c>
      <x:c r="F256" s="30" t="str">
        <x:v>n.a.</x:v>
      </x:c>
      <x:c r="G256" s="30" t="str">
        <x:v>n.a.</x:v>
      </x:c>
      <x:c r="H256" s="30" t="str">
        <x:v>n.a.</x:v>
      </x:c>
      <x:c r="I256" s="30" t="str">
        <x:f>IF(COUNT(B256,F256:H256)=4,B256+F256+G256-H256,"n.a.")</x:f>
        <x:v>n.a.</x:v>
      </x:c>
      <x:c r="J256" s="30" t="str">
        <x:v>n.a.</x:v>
      </x:c>
      <x:c r="K256" s="17"/>
      <x:c r="L256" s="17"/>
      <x:c r="M256" s="17"/>
      <x:c r="N256" s="17"/>
    </x:row>
    <x:row r="257" ht="21" customHeight="1">
      <x:c r="A257" s="27" t="d">
        <x:v>2026-03-09T00:00:00.000Z</x:v>
      </x:c>
      <x:c r="B257" s="22" t="n">
        <x:f>SUMIFS('Cash'!$C$5:$C$97,'Cash'!$A$5:$A$97,"&lt;="&amp;A257)</x:f>
        <x:v>36</x:v>
      </x:c>
      <x:c r="C257" s="22" t="n">
        <x:f>SUMIFS('Cash'!$C$5:$C$97,'Cash'!$A$5:$A$97,A257)</x:f>
        <x:v>0</x:v>
      </x:c>
      <x:c r="D257" s="22" t="n">
        <x:f>SUMIFS('Cash'!$C$5:$C$97,'Cash'!$A$5:$A$97,"&lt;="&amp;A257,'Cash'!$B$5:$B$97,"EXTERNAL_FUNDING")</x:f>
        <x:v>57285363</x:v>
      </x:c>
      <x:c r="E257" s="22" t="n">
        <x:f>SUMIFS('Cash'!$C$5:$C$97,'Cash'!$A$5:$A$97,"&lt;="&amp;A257,'Cash'!$B$5:$B$97,"DIVIDEND_NET")</x:f>
        <x:v>137750</x:v>
      </x:c>
      <x:c r="F257" s="30" t="str">
        <x:v>n.a.</x:v>
      </x:c>
      <x:c r="G257" s="30" t="str">
        <x:v>n.a.</x:v>
      </x:c>
      <x:c r="H257" s="30" t="str">
        <x:v>n.a.</x:v>
      </x:c>
      <x:c r="I257" s="30" t="str">
        <x:f>IF(COUNT(B257,F257:H257)=4,B257+F257+G257-H257,"n.a.")</x:f>
        <x:v>n.a.</x:v>
      </x:c>
      <x:c r="J257" s="30" t="str">
        <x:v>n.a.</x:v>
      </x:c>
      <x:c r="K257" s="17"/>
      <x:c r="L257" s="17"/>
      <x:c r="M257" s="17"/>
      <x:c r="N257" s="17"/>
    </x:row>
    <x:row r="258" ht="21" customHeight="1">
      <x:c r="A258" s="27" t="d">
        <x:v>2026-03-10T00:00:00.000Z</x:v>
      </x:c>
      <x:c r="B258" s="22" t="n">
        <x:f>SUMIFS('Cash'!$C$5:$C$97,'Cash'!$A$5:$A$97,"&lt;="&amp;A258)</x:f>
        <x:v>36</x:v>
      </x:c>
      <x:c r="C258" s="22" t="n">
        <x:f>SUMIFS('Cash'!$C$5:$C$97,'Cash'!$A$5:$A$97,A258)</x:f>
        <x:v>0</x:v>
      </x:c>
      <x:c r="D258" s="22" t="n">
        <x:f>SUMIFS('Cash'!$C$5:$C$97,'Cash'!$A$5:$A$97,"&lt;="&amp;A258,'Cash'!$B$5:$B$97,"EXTERNAL_FUNDING")</x:f>
        <x:v>57285363</x:v>
      </x:c>
      <x:c r="E258" s="22" t="n">
        <x:f>SUMIFS('Cash'!$C$5:$C$97,'Cash'!$A$5:$A$97,"&lt;="&amp;A258,'Cash'!$B$5:$B$97,"DIVIDEND_NET")</x:f>
        <x:v>137750</x:v>
      </x:c>
      <x:c r="F258" s="30" t="str">
        <x:v>n.a.</x:v>
      </x:c>
      <x:c r="G258" s="30" t="str">
        <x:v>n.a.</x:v>
      </x:c>
      <x:c r="H258" s="30" t="str">
        <x:v>n.a.</x:v>
      </x:c>
      <x:c r="I258" s="30" t="str">
        <x:f>IF(COUNT(B258,F258:H258)=4,B258+F258+G258-H258,"n.a.")</x:f>
        <x:v>n.a.</x:v>
      </x:c>
      <x:c r="J258" s="30" t="str">
        <x:v>n.a.</x:v>
      </x:c>
      <x:c r="K258" s="17"/>
      <x:c r="L258" s="17"/>
      <x:c r="M258" s="17"/>
      <x:c r="N258" s="17"/>
    </x:row>
    <x:row r="259" ht="21" customHeight="1">
      <x:c r="A259" s="27" t="d">
        <x:v>2026-03-11T00:00:00.000Z</x:v>
      </x:c>
      <x:c r="B259" s="22" t="n">
        <x:f>SUMIFS('Cash'!$C$5:$C$97,'Cash'!$A$5:$A$97,"&lt;="&amp;A259)</x:f>
        <x:v>36</x:v>
      </x:c>
      <x:c r="C259" s="22" t="n">
        <x:f>SUMIFS('Cash'!$C$5:$C$97,'Cash'!$A$5:$A$97,A259)</x:f>
        <x:v>0</x:v>
      </x:c>
      <x:c r="D259" s="22" t="n">
        <x:f>SUMIFS('Cash'!$C$5:$C$97,'Cash'!$A$5:$A$97,"&lt;="&amp;A259,'Cash'!$B$5:$B$97,"EXTERNAL_FUNDING")</x:f>
        <x:v>57285363</x:v>
      </x:c>
      <x:c r="E259" s="22" t="n">
        <x:f>SUMIFS('Cash'!$C$5:$C$97,'Cash'!$A$5:$A$97,"&lt;="&amp;A259,'Cash'!$B$5:$B$97,"DIVIDEND_NET")</x:f>
        <x:v>137750</x:v>
      </x:c>
      <x:c r="F259" s="30" t="str">
        <x:v>n.a.</x:v>
      </x:c>
      <x:c r="G259" s="30" t="str">
        <x:v>n.a.</x:v>
      </x:c>
      <x:c r="H259" s="30" t="str">
        <x:v>n.a.</x:v>
      </x:c>
      <x:c r="I259" s="30" t="str">
        <x:f>IF(COUNT(B259,F259:H259)=4,B259+F259+G259-H259,"n.a.")</x:f>
        <x:v>n.a.</x:v>
      </x:c>
      <x:c r="J259" s="30" t="str">
        <x:v>n.a.</x:v>
      </x:c>
      <x:c r="K259" s="17"/>
      <x:c r="L259" s="17"/>
      <x:c r="M259" s="17"/>
      <x:c r="N259" s="17"/>
    </x:row>
    <x:row r="260" ht="21" customHeight="1">
      <x:c r="A260" s="27" t="d">
        <x:v>2026-03-12T00:00:00.000Z</x:v>
      </x:c>
      <x:c r="B260" s="22" t="n">
        <x:f>SUMIFS('Cash'!$C$5:$C$97,'Cash'!$A$5:$A$97,"&lt;="&amp;A260)</x:f>
        <x:v>36</x:v>
      </x:c>
      <x:c r="C260" s="22" t="n">
        <x:f>SUMIFS('Cash'!$C$5:$C$97,'Cash'!$A$5:$A$97,A260)</x:f>
        <x:v>0</x:v>
      </x:c>
      <x:c r="D260" s="22" t="n">
        <x:f>SUMIFS('Cash'!$C$5:$C$97,'Cash'!$A$5:$A$97,"&lt;="&amp;A260,'Cash'!$B$5:$B$97,"EXTERNAL_FUNDING")</x:f>
        <x:v>57285363</x:v>
      </x:c>
      <x:c r="E260" s="22" t="n">
        <x:f>SUMIFS('Cash'!$C$5:$C$97,'Cash'!$A$5:$A$97,"&lt;="&amp;A260,'Cash'!$B$5:$B$97,"DIVIDEND_NET")</x:f>
        <x:v>137750</x:v>
      </x:c>
      <x:c r="F260" s="30" t="str">
        <x:v>n.a.</x:v>
      </x:c>
      <x:c r="G260" s="30" t="str">
        <x:v>n.a.</x:v>
      </x:c>
      <x:c r="H260" s="30" t="str">
        <x:v>n.a.</x:v>
      </x:c>
      <x:c r="I260" s="30" t="str">
        <x:f>IF(COUNT(B260,F260:H260)=4,B260+F260+G260-H260,"n.a.")</x:f>
        <x:v>n.a.</x:v>
      </x:c>
      <x:c r="J260" s="30" t="str">
        <x:v>n.a.</x:v>
      </x:c>
      <x:c r="K260" s="17"/>
      <x:c r="L260" s="17"/>
      <x:c r="M260" s="17"/>
      <x:c r="N260" s="17"/>
    </x:row>
    <x:row r="261" ht="21" customHeight="1">
      <x:c r="A261" s="27" t="d">
        <x:v>2026-03-13T00:00:00.000Z</x:v>
      </x:c>
      <x:c r="B261" s="22" t="n">
        <x:f>SUMIFS('Cash'!$C$5:$C$97,'Cash'!$A$5:$A$97,"&lt;="&amp;A261)</x:f>
        <x:v>36</x:v>
      </x:c>
      <x:c r="C261" s="22" t="n">
        <x:f>SUMIFS('Cash'!$C$5:$C$97,'Cash'!$A$5:$A$97,A261)</x:f>
        <x:v>0</x:v>
      </x:c>
      <x:c r="D261" s="22" t="n">
        <x:f>SUMIFS('Cash'!$C$5:$C$97,'Cash'!$A$5:$A$97,"&lt;="&amp;A261,'Cash'!$B$5:$B$97,"EXTERNAL_FUNDING")</x:f>
        <x:v>57285363</x:v>
      </x:c>
      <x:c r="E261" s="22" t="n">
        <x:f>SUMIFS('Cash'!$C$5:$C$97,'Cash'!$A$5:$A$97,"&lt;="&amp;A261,'Cash'!$B$5:$B$97,"DIVIDEND_NET")</x:f>
        <x:v>137750</x:v>
      </x:c>
      <x:c r="F261" s="30" t="str">
        <x:v>n.a.</x:v>
      </x:c>
      <x:c r="G261" s="30" t="str">
        <x:v>n.a.</x:v>
      </x:c>
      <x:c r="H261" s="30" t="str">
        <x:v>n.a.</x:v>
      </x:c>
      <x:c r="I261" s="30" t="str">
        <x:f>IF(COUNT(B261,F261:H261)=4,B261+F261+G261-H261,"n.a.")</x:f>
        <x:v>n.a.</x:v>
      </x:c>
      <x:c r="J261" s="30" t="str">
        <x:v>n.a.</x:v>
      </x:c>
      <x:c r="K261" s="17"/>
      <x:c r="L261" s="17"/>
      <x:c r="M261" s="17"/>
      <x:c r="N261" s="17"/>
    </x:row>
    <x:row r="262" ht="21" customHeight="1">
      <x:c r="A262" s="27" t="d">
        <x:v>2026-03-14T00:00:00.000Z</x:v>
      </x:c>
      <x:c r="B262" s="22" t="n">
        <x:f>SUMIFS('Cash'!$C$5:$C$97,'Cash'!$A$5:$A$97,"&lt;="&amp;A262)</x:f>
        <x:v>36</x:v>
      </x:c>
      <x:c r="C262" s="22" t="n">
        <x:f>SUMIFS('Cash'!$C$5:$C$97,'Cash'!$A$5:$A$97,A262)</x:f>
        <x:v>0</x:v>
      </x:c>
      <x:c r="D262" s="22" t="n">
        <x:f>SUMIFS('Cash'!$C$5:$C$97,'Cash'!$A$5:$A$97,"&lt;="&amp;A262,'Cash'!$B$5:$B$97,"EXTERNAL_FUNDING")</x:f>
        <x:v>57285363</x:v>
      </x:c>
      <x:c r="E262" s="22" t="n">
        <x:f>SUMIFS('Cash'!$C$5:$C$97,'Cash'!$A$5:$A$97,"&lt;="&amp;A262,'Cash'!$B$5:$B$97,"DIVIDEND_NET")</x:f>
        <x:v>137750</x:v>
      </x:c>
      <x:c r="F262" s="30" t="str">
        <x:v>n.a.</x:v>
      </x:c>
      <x:c r="G262" s="30" t="str">
        <x:v>n.a.</x:v>
      </x:c>
      <x:c r="H262" s="30" t="str">
        <x:v>n.a.</x:v>
      </x:c>
      <x:c r="I262" s="30" t="str">
        <x:f>IF(COUNT(B262,F262:H262)=4,B262+F262+G262-H262,"n.a.")</x:f>
        <x:v>n.a.</x:v>
      </x:c>
      <x:c r="J262" s="30" t="str">
        <x:v>n.a.</x:v>
      </x:c>
      <x:c r="K262" s="17"/>
      <x:c r="L262" s="17"/>
      <x:c r="M262" s="17"/>
      <x:c r="N262" s="17"/>
    </x:row>
    <x:row r="263" ht="21" customHeight="1">
      <x:c r="A263" s="27" t="d">
        <x:v>2026-03-15T00:00:00.000Z</x:v>
      </x:c>
      <x:c r="B263" s="22" t="n">
        <x:f>SUMIFS('Cash'!$C$5:$C$97,'Cash'!$A$5:$A$97,"&lt;="&amp;A263)</x:f>
        <x:v>36</x:v>
      </x:c>
      <x:c r="C263" s="22" t="n">
        <x:f>SUMIFS('Cash'!$C$5:$C$97,'Cash'!$A$5:$A$97,A263)</x:f>
        <x:v>0</x:v>
      </x:c>
      <x:c r="D263" s="22" t="n">
        <x:f>SUMIFS('Cash'!$C$5:$C$97,'Cash'!$A$5:$A$97,"&lt;="&amp;A263,'Cash'!$B$5:$B$97,"EXTERNAL_FUNDING")</x:f>
        <x:v>57285363</x:v>
      </x:c>
      <x:c r="E263" s="22" t="n">
        <x:f>SUMIFS('Cash'!$C$5:$C$97,'Cash'!$A$5:$A$97,"&lt;="&amp;A263,'Cash'!$B$5:$B$97,"DIVIDEND_NET")</x:f>
        <x:v>137750</x:v>
      </x:c>
      <x:c r="F263" s="30" t="str">
        <x:v>n.a.</x:v>
      </x:c>
      <x:c r="G263" s="30" t="str">
        <x:v>n.a.</x:v>
      </x:c>
      <x:c r="H263" s="30" t="str">
        <x:v>n.a.</x:v>
      </x:c>
      <x:c r="I263" s="30" t="str">
        <x:f>IF(COUNT(B263,F263:H263)=4,B263+F263+G263-H263,"n.a.")</x:f>
        <x:v>n.a.</x:v>
      </x:c>
      <x:c r="J263" s="30" t="str">
        <x:v>n.a.</x:v>
      </x:c>
      <x:c r="K263" s="17"/>
      <x:c r="L263" s="17"/>
      <x:c r="M263" s="17"/>
      <x:c r="N263" s="17"/>
    </x:row>
    <x:row r="264" ht="21" customHeight="1">
      <x:c r="A264" s="27" t="d">
        <x:v>2026-03-16T00:00:00.000Z</x:v>
      </x:c>
      <x:c r="B264" s="22" t="n">
        <x:f>SUMIFS('Cash'!$C$5:$C$97,'Cash'!$A$5:$A$97,"&lt;="&amp;A264)</x:f>
        <x:v>36</x:v>
      </x:c>
      <x:c r="C264" s="22" t="n">
        <x:f>SUMIFS('Cash'!$C$5:$C$97,'Cash'!$A$5:$A$97,A264)</x:f>
        <x:v>0</x:v>
      </x:c>
      <x:c r="D264" s="22" t="n">
        <x:f>SUMIFS('Cash'!$C$5:$C$97,'Cash'!$A$5:$A$97,"&lt;="&amp;A264,'Cash'!$B$5:$B$97,"EXTERNAL_FUNDING")</x:f>
        <x:v>57285363</x:v>
      </x:c>
      <x:c r="E264" s="22" t="n">
        <x:f>SUMIFS('Cash'!$C$5:$C$97,'Cash'!$A$5:$A$97,"&lt;="&amp;A264,'Cash'!$B$5:$B$97,"DIVIDEND_NET")</x:f>
        <x:v>137750</x:v>
      </x:c>
      <x:c r="F264" s="30" t="str">
        <x:v>n.a.</x:v>
      </x:c>
      <x:c r="G264" s="30" t="str">
        <x:v>n.a.</x:v>
      </x:c>
      <x:c r="H264" s="30" t="str">
        <x:v>n.a.</x:v>
      </x:c>
      <x:c r="I264" s="30" t="str">
        <x:f>IF(COUNT(B264,F264:H264)=4,B264+F264+G264-H264,"n.a.")</x:f>
        <x:v>n.a.</x:v>
      </x:c>
      <x:c r="J264" s="30" t="str">
        <x:v>n.a.</x:v>
      </x:c>
      <x:c r="K264" s="17"/>
      <x:c r="L264" s="17"/>
      <x:c r="M264" s="17"/>
      <x:c r="N264" s="17"/>
    </x:row>
    <x:row r="265" ht="21" customHeight="1">
      <x:c r="A265" s="27" t="d">
        <x:v>2026-03-17T00:00:00.000Z</x:v>
      </x:c>
      <x:c r="B265" s="22" t="n">
        <x:f>SUMIFS('Cash'!$C$5:$C$97,'Cash'!$A$5:$A$97,"&lt;="&amp;A265)</x:f>
        <x:v>36</x:v>
      </x:c>
      <x:c r="C265" s="22" t="n">
        <x:f>SUMIFS('Cash'!$C$5:$C$97,'Cash'!$A$5:$A$97,A265)</x:f>
        <x:v>0</x:v>
      </x:c>
      <x:c r="D265" s="22" t="n">
        <x:f>SUMIFS('Cash'!$C$5:$C$97,'Cash'!$A$5:$A$97,"&lt;="&amp;A265,'Cash'!$B$5:$B$97,"EXTERNAL_FUNDING")</x:f>
        <x:v>57285363</x:v>
      </x:c>
      <x:c r="E265" s="22" t="n">
        <x:f>SUMIFS('Cash'!$C$5:$C$97,'Cash'!$A$5:$A$97,"&lt;="&amp;A265,'Cash'!$B$5:$B$97,"DIVIDEND_NET")</x:f>
        <x:v>137750</x:v>
      </x:c>
      <x:c r="F265" s="30" t="str">
        <x:v>n.a.</x:v>
      </x:c>
      <x:c r="G265" s="30" t="str">
        <x:v>n.a.</x:v>
      </x:c>
      <x:c r="H265" s="30" t="str">
        <x:v>n.a.</x:v>
      </x:c>
      <x:c r="I265" s="30" t="str">
        <x:f>IF(COUNT(B265,F265:H265)=4,B265+F265+G265-H265,"n.a.")</x:f>
        <x:v>n.a.</x:v>
      </x:c>
      <x:c r="J265" s="30" t="str">
        <x:v>n.a.</x:v>
      </x:c>
      <x:c r="K265" s="17"/>
      <x:c r="L265" s="17"/>
      <x:c r="M265" s="17"/>
      <x:c r="N265" s="17"/>
    </x:row>
    <x:row r="266" ht="21" customHeight="1">
      <x:c r="A266" s="27" t="d">
        <x:v>2026-03-18T00:00:00.000Z</x:v>
      </x:c>
      <x:c r="B266" s="22" t="n">
        <x:f>SUMIFS('Cash'!$C$5:$C$97,'Cash'!$A$5:$A$97,"&lt;="&amp;A266)</x:f>
        <x:v>36</x:v>
      </x:c>
      <x:c r="C266" s="22" t="n">
        <x:f>SUMIFS('Cash'!$C$5:$C$97,'Cash'!$A$5:$A$97,A266)</x:f>
        <x:v>0</x:v>
      </x:c>
      <x:c r="D266" s="22" t="n">
        <x:f>SUMIFS('Cash'!$C$5:$C$97,'Cash'!$A$5:$A$97,"&lt;="&amp;A266,'Cash'!$B$5:$B$97,"EXTERNAL_FUNDING")</x:f>
        <x:v>57285363</x:v>
      </x:c>
      <x:c r="E266" s="22" t="n">
        <x:f>SUMIFS('Cash'!$C$5:$C$97,'Cash'!$A$5:$A$97,"&lt;="&amp;A266,'Cash'!$B$5:$B$97,"DIVIDEND_NET")</x:f>
        <x:v>137750</x:v>
      </x:c>
      <x:c r="F266" s="30" t="str">
        <x:v>n.a.</x:v>
      </x:c>
      <x:c r="G266" s="30" t="str">
        <x:v>n.a.</x:v>
      </x:c>
      <x:c r="H266" s="30" t="str">
        <x:v>n.a.</x:v>
      </x:c>
      <x:c r="I266" s="30" t="str">
        <x:f>IF(COUNT(B266,F266:H266)=4,B266+F266+G266-H266,"n.a.")</x:f>
        <x:v>n.a.</x:v>
      </x:c>
      <x:c r="J266" s="30" t="str">
        <x:v>n.a.</x:v>
      </x:c>
      <x:c r="K266" s="17"/>
      <x:c r="L266" s="17"/>
      <x:c r="M266" s="17"/>
      <x:c r="N266" s="17"/>
    </x:row>
    <x:row r="267" ht="21" customHeight="1">
      <x:c r="A267" s="27" t="d">
        <x:v>2026-03-19T00:00:00.000Z</x:v>
      </x:c>
      <x:c r="B267" s="22" t="n">
        <x:f>SUMIFS('Cash'!$C$5:$C$97,'Cash'!$A$5:$A$97,"&lt;="&amp;A267)</x:f>
        <x:v>36</x:v>
      </x:c>
      <x:c r="C267" s="22" t="n">
        <x:f>SUMIFS('Cash'!$C$5:$C$97,'Cash'!$A$5:$A$97,A267)</x:f>
        <x:v>0</x:v>
      </x:c>
      <x:c r="D267" s="22" t="n">
        <x:f>SUMIFS('Cash'!$C$5:$C$97,'Cash'!$A$5:$A$97,"&lt;="&amp;A267,'Cash'!$B$5:$B$97,"EXTERNAL_FUNDING")</x:f>
        <x:v>57285363</x:v>
      </x:c>
      <x:c r="E267" s="22" t="n">
        <x:f>SUMIFS('Cash'!$C$5:$C$97,'Cash'!$A$5:$A$97,"&lt;="&amp;A267,'Cash'!$B$5:$B$97,"DIVIDEND_NET")</x:f>
        <x:v>137750</x:v>
      </x:c>
      <x:c r="F267" s="30" t="str">
        <x:v>n.a.</x:v>
      </x:c>
      <x:c r="G267" s="30" t="str">
        <x:v>n.a.</x:v>
      </x:c>
      <x:c r="H267" s="30" t="str">
        <x:v>n.a.</x:v>
      </x:c>
      <x:c r="I267" s="30" t="str">
        <x:f>IF(COUNT(B267,F267:H267)=4,B267+F267+G267-H267,"n.a.")</x:f>
        <x:v>n.a.</x:v>
      </x:c>
      <x:c r="J267" s="30" t="str">
        <x:v>n.a.</x:v>
      </x:c>
      <x:c r="K267" s="17"/>
      <x:c r="L267" s="17"/>
      <x:c r="M267" s="17"/>
      <x:c r="N267" s="17"/>
    </x:row>
    <x:row r="268" ht="21" customHeight="1">
      <x:c r="A268" s="27" t="d">
        <x:v>2026-03-20T00:00:00.000Z</x:v>
      </x:c>
      <x:c r="B268" s="22" t="n">
        <x:f>SUMIFS('Cash'!$C$5:$C$97,'Cash'!$A$5:$A$97,"&lt;="&amp;A268)</x:f>
        <x:v>36</x:v>
      </x:c>
      <x:c r="C268" s="22" t="n">
        <x:f>SUMIFS('Cash'!$C$5:$C$97,'Cash'!$A$5:$A$97,A268)</x:f>
        <x:v>0</x:v>
      </x:c>
      <x:c r="D268" s="22" t="n">
        <x:f>SUMIFS('Cash'!$C$5:$C$97,'Cash'!$A$5:$A$97,"&lt;="&amp;A268,'Cash'!$B$5:$B$97,"EXTERNAL_FUNDING")</x:f>
        <x:v>57285363</x:v>
      </x:c>
      <x:c r="E268" s="22" t="n">
        <x:f>SUMIFS('Cash'!$C$5:$C$97,'Cash'!$A$5:$A$97,"&lt;="&amp;A268,'Cash'!$B$5:$B$97,"DIVIDEND_NET")</x:f>
        <x:v>137750</x:v>
      </x:c>
      <x:c r="F268" s="30" t="str">
        <x:v>n.a.</x:v>
      </x:c>
      <x:c r="G268" s="30" t="str">
        <x:v>n.a.</x:v>
      </x:c>
      <x:c r="H268" s="30" t="str">
        <x:v>n.a.</x:v>
      </x:c>
      <x:c r="I268" s="30" t="str">
        <x:f>IF(COUNT(B268,F268:H268)=4,B268+F268+G268-H268,"n.a.")</x:f>
        <x:v>n.a.</x:v>
      </x:c>
      <x:c r="J268" s="30" t="str">
        <x:v>n.a.</x:v>
      </x:c>
      <x:c r="K268" s="17"/>
      <x:c r="L268" s="17"/>
      <x:c r="M268" s="17"/>
      <x:c r="N268" s="17"/>
    </x:row>
    <x:row r="269" ht="21" customHeight="1">
      <x:c r="A269" s="27" t="d">
        <x:v>2026-03-21T00:00:00.000Z</x:v>
      </x:c>
      <x:c r="B269" s="22" t="n">
        <x:f>SUMIFS('Cash'!$C$5:$C$97,'Cash'!$A$5:$A$97,"&lt;="&amp;A269)</x:f>
        <x:v>36</x:v>
      </x:c>
      <x:c r="C269" s="22" t="n">
        <x:f>SUMIFS('Cash'!$C$5:$C$97,'Cash'!$A$5:$A$97,A269)</x:f>
        <x:v>0</x:v>
      </x:c>
      <x:c r="D269" s="22" t="n">
        <x:f>SUMIFS('Cash'!$C$5:$C$97,'Cash'!$A$5:$A$97,"&lt;="&amp;A269,'Cash'!$B$5:$B$97,"EXTERNAL_FUNDING")</x:f>
        <x:v>57285363</x:v>
      </x:c>
      <x:c r="E269" s="22" t="n">
        <x:f>SUMIFS('Cash'!$C$5:$C$97,'Cash'!$A$5:$A$97,"&lt;="&amp;A269,'Cash'!$B$5:$B$97,"DIVIDEND_NET")</x:f>
        <x:v>137750</x:v>
      </x:c>
      <x:c r="F269" s="30" t="str">
        <x:v>n.a.</x:v>
      </x:c>
      <x:c r="G269" s="30" t="str">
        <x:v>n.a.</x:v>
      </x:c>
      <x:c r="H269" s="30" t="str">
        <x:v>n.a.</x:v>
      </x:c>
      <x:c r="I269" s="30" t="str">
        <x:f>IF(COUNT(B269,F269:H269)=4,B269+F269+G269-H269,"n.a.")</x:f>
        <x:v>n.a.</x:v>
      </x:c>
      <x:c r="J269" s="30" t="str">
        <x:v>n.a.</x:v>
      </x:c>
      <x:c r="K269" s="17"/>
      <x:c r="L269" s="17"/>
      <x:c r="M269" s="17"/>
      <x:c r="N269" s="17"/>
    </x:row>
    <x:row r="270" ht="21" customHeight="1">
      <x:c r="A270" s="27" t="d">
        <x:v>2026-03-22T00:00:00.000Z</x:v>
      </x:c>
      <x:c r="B270" s="22" t="n">
        <x:f>SUMIFS('Cash'!$C$5:$C$97,'Cash'!$A$5:$A$97,"&lt;="&amp;A270)</x:f>
        <x:v>36</x:v>
      </x:c>
      <x:c r="C270" s="22" t="n">
        <x:f>SUMIFS('Cash'!$C$5:$C$97,'Cash'!$A$5:$A$97,A270)</x:f>
        <x:v>0</x:v>
      </x:c>
      <x:c r="D270" s="22" t="n">
        <x:f>SUMIFS('Cash'!$C$5:$C$97,'Cash'!$A$5:$A$97,"&lt;="&amp;A270,'Cash'!$B$5:$B$97,"EXTERNAL_FUNDING")</x:f>
        <x:v>57285363</x:v>
      </x:c>
      <x:c r="E270" s="22" t="n">
        <x:f>SUMIFS('Cash'!$C$5:$C$97,'Cash'!$A$5:$A$97,"&lt;="&amp;A270,'Cash'!$B$5:$B$97,"DIVIDEND_NET")</x:f>
        <x:v>137750</x:v>
      </x:c>
      <x:c r="F270" s="30" t="str">
        <x:v>n.a.</x:v>
      </x:c>
      <x:c r="G270" s="30" t="str">
        <x:v>n.a.</x:v>
      </x:c>
      <x:c r="H270" s="30" t="str">
        <x:v>n.a.</x:v>
      </x:c>
      <x:c r="I270" s="30" t="str">
        <x:f>IF(COUNT(B270,F270:H270)=4,B270+F270+G270-H270,"n.a.")</x:f>
        <x:v>n.a.</x:v>
      </x:c>
      <x:c r="J270" s="30" t="str">
        <x:v>n.a.</x:v>
      </x:c>
      <x:c r="K270" s="17"/>
      <x:c r="L270" s="17"/>
      <x:c r="M270" s="17"/>
      <x:c r="N270" s="17"/>
    </x:row>
    <x:row r="271" ht="21" customHeight="1">
      <x:c r="A271" s="27" t="d">
        <x:v>2026-03-23T00:00:00.000Z</x:v>
      </x:c>
      <x:c r="B271" s="22" t="n">
        <x:f>SUMIFS('Cash'!$C$5:$C$97,'Cash'!$A$5:$A$97,"&lt;="&amp;A271)</x:f>
        <x:v>36</x:v>
      </x:c>
      <x:c r="C271" s="22" t="n">
        <x:f>SUMIFS('Cash'!$C$5:$C$97,'Cash'!$A$5:$A$97,A271)</x:f>
        <x:v>0</x:v>
      </x:c>
      <x:c r="D271" s="22" t="n">
        <x:f>SUMIFS('Cash'!$C$5:$C$97,'Cash'!$A$5:$A$97,"&lt;="&amp;A271,'Cash'!$B$5:$B$97,"EXTERNAL_FUNDING")</x:f>
        <x:v>57285363</x:v>
      </x:c>
      <x:c r="E271" s="22" t="n">
        <x:f>SUMIFS('Cash'!$C$5:$C$97,'Cash'!$A$5:$A$97,"&lt;="&amp;A271,'Cash'!$B$5:$B$97,"DIVIDEND_NET")</x:f>
        <x:v>137750</x:v>
      </x:c>
      <x:c r="F271" s="30" t="str">
        <x:v>n.a.</x:v>
      </x:c>
      <x:c r="G271" s="30" t="str">
        <x:v>n.a.</x:v>
      </x:c>
      <x:c r="H271" s="30" t="str">
        <x:v>n.a.</x:v>
      </x:c>
      <x:c r="I271" s="30" t="str">
        <x:f>IF(COUNT(B271,F271:H271)=4,B271+F271+G271-H271,"n.a.")</x:f>
        <x:v>n.a.</x:v>
      </x:c>
      <x:c r="J271" s="30" t="str">
        <x:v>n.a.</x:v>
      </x:c>
      <x:c r="K271" s="17"/>
      <x:c r="L271" s="17"/>
      <x:c r="M271" s="17"/>
      <x:c r="N271" s="17"/>
    </x:row>
    <x:row r="272" ht="21" customHeight="1">
      <x:c r="A272" s="27" t="d">
        <x:v>2026-03-24T00:00:00.000Z</x:v>
      </x:c>
      <x:c r="B272" s="22" t="n">
        <x:f>SUMIFS('Cash'!$C$5:$C$97,'Cash'!$A$5:$A$97,"&lt;="&amp;A272)</x:f>
        <x:v>36</x:v>
      </x:c>
      <x:c r="C272" s="22" t="n">
        <x:f>SUMIFS('Cash'!$C$5:$C$97,'Cash'!$A$5:$A$97,A272)</x:f>
        <x:v>0</x:v>
      </x:c>
      <x:c r="D272" s="22" t="n">
        <x:f>SUMIFS('Cash'!$C$5:$C$97,'Cash'!$A$5:$A$97,"&lt;="&amp;A272,'Cash'!$B$5:$B$97,"EXTERNAL_FUNDING")</x:f>
        <x:v>57285363</x:v>
      </x:c>
      <x:c r="E272" s="22" t="n">
        <x:f>SUMIFS('Cash'!$C$5:$C$97,'Cash'!$A$5:$A$97,"&lt;="&amp;A272,'Cash'!$B$5:$B$97,"DIVIDEND_NET")</x:f>
        <x:v>137750</x:v>
      </x:c>
      <x:c r="F272" s="30" t="str">
        <x:v>n.a.</x:v>
      </x:c>
      <x:c r="G272" s="30" t="str">
        <x:v>n.a.</x:v>
      </x:c>
      <x:c r="H272" s="30" t="str">
        <x:v>n.a.</x:v>
      </x:c>
      <x:c r="I272" s="30" t="str">
        <x:f>IF(COUNT(B272,F272:H272)=4,B272+F272+G272-H272,"n.a.")</x:f>
        <x:v>n.a.</x:v>
      </x:c>
      <x:c r="J272" s="30" t="str">
        <x:v>n.a.</x:v>
      </x:c>
      <x:c r="K272" s="17"/>
      <x:c r="L272" s="17"/>
      <x:c r="M272" s="17"/>
      <x:c r="N272" s="17"/>
    </x:row>
    <x:row r="273" ht="21" customHeight="1">
      <x:c r="A273" s="27" t="d">
        <x:v>2026-03-25T00:00:00.000Z</x:v>
      </x:c>
      <x:c r="B273" s="22" t="n">
        <x:f>SUMIFS('Cash'!$C$5:$C$97,'Cash'!$A$5:$A$97,"&lt;="&amp;A273)</x:f>
        <x:v>36</x:v>
      </x:c>
      <x:c r="C273" s="22" t="n">
        <x:f>SUMIFS('Cash'!$C$5:$C$97,'Cash'!$A$5:$A$97,A273)</x:f>
        <x:v>0</x:v>
      </x:c>
      <x:c r="D273" s="22" t="n">
        <x:f>SUMIFS('Cash'!$C$5:$C$97,'Cash'!$A$5:$A$97,"&lt;="&amp;A273,'Cash'!$B$5:$B$97,"EXTERNAL_FUNDING")</x:f>
        <x:v>57285363</x:v>
      </x:c>
      <x:c r="E273" s="22" t="n">
        <x:f>SUMIFS('Cash'!$C$5:$C$97,'Cash'!$A$5:$A$97,"&lt;="&amp;A273,'Cash'!$B$5:$B$97,"DIVIDEND_NET")</x:f>
        <x:v>137750</x:v>
      </x:c>
      <x:c r="F273" s="30" t="str">
        <x:v>n.a.</x:v>
      </x:c>
      <x:c r="G273" s="30" t="str">
        <x:v>n.a.</x:v>
      </x:c>
      <x:c r="H273" s="30" t="str">
        <x:v>n.a.</x:v>
      </x:c>
      <x:c r="I273" s="30" t="str">
        <x:f>IF(COUNT(B273,F273:H273)=4,B273+F273+G273-H273,"n.a.")</x:f>
        <x:v>n.a.</x:v>
      </x:c>
      <x:c r="J273" s="30" t="str">
        <x:v>n.a.</x:v>
      </x:c>
      <x:c r="K273" s="17"/>
      <x:c r="L273" s="17"/>
      <x:c r="M273" s="17"/>
      <x:c r="N273" s="17"/>
    </x:row>
    <x:row r="274" ht="21" customHeight="1">
      <x:c r="A274" s="27" t="d">
        <x:v>2026-03-26T00:00:00.000Z</x:v>
      </x:c>
      <x:c r="B274" s="22" t="n">
        <x:f>SUMIFS('Cash'!$C$5:$C$97,'Cash'!$A$5:$A$97,"&lt;="&amp;A274)</x:f>
        <x:v>36</x:v>
      </x:c>
      <x:c r="C274" s="22" t="n">
        <x:f>SUMIFS('Cash'!$C$5:$C$97,'Cash'!$A$5:$A$97,A274)</x:f>
        <x:v>0</x:v>
      </x:c>
      <x:c r="D274" s="22" t="n">
        <x:f>SUMIFS('Cash'!$C$5:$C$97,'Cash'!$A$5:$A$97,"&lt;="&amp;A274,'Cash'!$B$5:$B$97,"EXTERNAL_FUNDING")</x:f>
        <x:v>57285363</x:v>
      </x:c>
      <x:c r="E274" s="22" t="n">
        <x:f>SUMIFS('Cash'!$C$5:$C$97,'Cash'!$A$5:$A$97,"&lt;="&amp;A274,'Cash'!$B$5:$B$97,"DIVIDEND_NET")</x:f>
        <x:v>137750</x:v>
      </x:c>
      <x:c r="F274" s="30" t="str">
        <x:v>n.a.</x:v>
      </x:c>
      <x:c r="G274" s="30" t="str">
        <x:v>n.a.</x:v>
      </x:c>
      <x:c r="H274" s="30" t="str">
        <x:v>n.a.</x:v>
      </x:c>
      <x:c r="I274" s="30" t="str">
        <x:f>IF(COUNT(B274,F274:H274)=4,B274+F274+G274-H274,"n.a.")</x:f>
        <x:v>n.a.</x:v>
      </x:c>
      <x:c r="J274" s="30" t="str">
        <x:v>n.a.</x:v>
      </x:c>
      <x:c r="K274" s="17"/>
      <x:c r="L274" s="17"/>
      <x:c r="M274" s="17"/>
      <x:c r="N274" s="17"/>
    </x:row>
    <x:row r="275" ht="21" customHeight="1">
      <x:c r="A275" s="27" t="d">
        <x:v>2026-03-27T00:00:00.000Z</x:v>
      </x:c>
      <x:c r="B275" s="22" t="n">
        <x:f>SUMIFS('Cash'!$C$5:$C$97,'Cash'!$A$5:$A$97,"&lt;="&amp;A275)</x:f>
        <x:v>36</x:v>
      </x:c>
      <x:c r="C275" s="22" t="n">
        <x:f>SUMIFS('Cash'!$C$5:$C$97,'Cash'!$A$5:$A$97,A275)</x:f>
        <x:v>0</x:v>
      </x:c>
      <x:c r="D275" s="22" t="n">
        <x:f>SUMIFS('Cash'!$C$5:$C$97,'Cash'!$A$5:$A$97,"&lt;="&amp;A275,'Cash'!$B$5:$B$97,"EXTERNAL_FUNDING")</x:f>
        <x:v>57285363</x:v>
      </x:c>
      <x:c r="E275" s="22" t="n">
        <x:f>SUMIFS('Cash'!$C$5:$C$97,'Cash'!$A$5:$A$97,"&lt;="&amp;A275,'Cash'!$B$5:$B$97,"DIVIDEND_NET")</x:f>
        <x:v>137750</x:v>
      </x:c>
      <x:c r="F275" s="30" t="str">
        <x:v>n.a.</x:v>
      </x:c>
      <x:c r="G275" s="30" t="str">
        <x:v>n.a.</x:v>
      </x:c>
      <x:c r="H275" s="30" t="str">
        <x:v>n.a.</x:v>
      </x:c>
      <x:c r="I275" s="30" t="str">
        <x:f>IF(COUNT(B275,F275:H275)=4,B275+F275+G275-H275,"n.a.")</x:f>
        <x:v>n.a.</x:v>
      </x:c>
      <x:c r="J275" s="30" t="str">
        <x:v>n.a.</x:v>
      </x:c>
      <x:c r="K275" s="17"/>
      <x:c r="L275" s="17"/>
      <x:c r="M275" s="17"/>
      <x:c r="N275" s="17"/>
    </x:row>
    <x:row r="276" ht="21" customHeight="1">
      <x:c r="A276" s="27" t="d">
        <x:v>2026-03-28T00:00:00.000Z</x:v>
      </x:c>
      <x:c r="B276" s="22" t="n">
        <x:f>SUMIFS('Cash'!$C$5:$C$97,'Cash'!$A$5:$A$97,"&lt;="&amp;A276)</x:f>
        <x:v>36</x:v>
      </x:c>
      <x:c r="C276" s="22" t="n">
        <x:f>SUMIFS('Cash'!$C$5:$C$97,'Cash'!$A$5:$A$97,A276)</x:f>
        <x:v>0</x:v>
      </x:c>
      <x:c r="D276" s="22" t="n">
        <x:f>SUMIFS('Cash'!$C$5:$C$97,'Cash'!$A$5:$A$97,"&lt;="&amp;A276,'Cash'!$B$5:$B$97,"EXTERNAL_FUNDING")</x:f>
        <x:v>57285363</x:v>
      </x:c>
      <x:c r="E276" s="22" t="n">
        <x:f>SUMIFS('Cash'!$C$5:$C$97,'Cash'!$A$5:$A$97,"&lt;="&amp;A276,'Cash'!$B$5:$B$97,"DIVIDEND_NET")</x:f>
        <x:v>137750</x:v>
      </x:c>
      <x:c r="F276" s="30" t="str">
        <x:v>n.a.</x:v>
      </x:c>
      <x:c r="G276" s="30" t="str">
        <x:v>n.a.</x:v>
      </x:c>
      <x:c r="H276" s="30" t="str">
        <x:v>n.a.</x:v>
      </x:c>
      <x:c r="I276" s="30" t="str">
        <x:f>IF(COUNT(B276,F276:H276)=4,B276+F276+G276-H276,"n.a.")</x:f>
        <x:v>n.a.</x:v>
      </x:c>
      <x:c r="J276" s="30" t="str">
        <x:v>n.a.</x:v>
      </x:c>
      <x:c r="K276" s="17"/>
      <x:c r="L276" s="17"/>
      <x:c r="M276" s="17"/>
      <x:c r="N276" s="17"/>
    </x:row>
    <x:row r="277" ht="21" customHeight="1">
      <x:c r="A277" s="27" t="d">
        <x:v>2026-03-29T00:00:00.000Z</x:v>
      </x:c>
      <x:c r="B277" s="22" t="n">
        <x:f>SUMIFS('Cash'!$C$5:$C$97,'Cash'!$A$5:$A$97,"&lt;="&amp;A277)</x:f>
        <x:v>36</x:v>
      </x:c>
      <x:c r="C277" s="22" t="n">
        <x:f>SUMIFS('Cash'!$C$5:$C$97,'Cash'!$A$5:$A$97,A277)</x:f>
        <x:v>0</x:v>
      </x:c>
      <x:c r="D277" s="22" t="n">
        <x:f>SUMIFS('Cash'!$C$5:$C$97,'Cash'!$A$5:$A$97,"&lt;="&amp;A277,'Cash'!$B$5:$B$97,"EXTERNAL_FUNDING")</x:f>
        <x:v>57285363</x:v>
      </x:c>
      <x:c r="E277" s="22" t="n">
        <x:f>SUMIFS('Cash'!$C$5:$C$97,'Cash'!$A$5:$A$97,"&lt;="&amp;A277,'Cash'!$B$5:$B$97,"DIVIDEND_NET")</x:f>
        <x:v>137750</x:v>
      </x:c>
      <x:c r="F277" s="30" t="str">
        <x:v>n.a.</x:v>
      </x:c>
      <x:c r="G277" s="30" t="str">
        <x:v>n.a.</x:v>
      </x:c>
      <x:c r="H277" s="30" t="str">
        <x:v>n.a.</x:v>
      </x:c>
      <x:c r="I277" s="30" t="str">
        <x:f>IF(COUNT(B277,F277:H277)=4,B277+F277+G277-H277,"n.a.")</x:f>
        <x:v>n.a.</x:v>
      </x:c>
      <x:c r="J277" s="30" t="str">
        <x:v>n.a.</x:v>
      </x:c>
      <x:c r="K277" s="17"/>
      <x:c r="L277" s="17"/>
      <x:c r="M277" s="17"/>
      <x:c r="N277" s="17"/>
    </x:row>
    <x:row r="278" ht="21" customHeight="1">
      <x:c r="A278" s="27" t="d">
        <x:v>2026-03-30T00:00:00.000Z</x:v>
      </x:c>
      <x:c r="B278" s="22" t="n">
        <x:f>SUMIFS('Cash'!$C$5:$C$97,'Cash'!$A$5:$A$97,"&lt;="&amp;A278)</x:f>
        <x:v>36</x:v>
      </x:c>
      <x:c r="C278" s="22" t="n">
        <x:f>SUMIFS('Cash'!$C$5:$C$97,'Cash'!$A$5:$A$97,A278)</x:f>
        <x:v>0</x:v>
      </x:c>
      <x:c r="D278" s="22" t="n">
        <x:f>SUMIFS('Cash'!$C$5:$C$97,'Cash'!$A$5:$A$97,"&lt;="&amp;A278,'Cash'!$B$5:$B$97,"EXTERNAL_FUNDING")</x:f>
        <x:v>57285363</x:v>
      </x:c>
      <x:c r="E278" s="22" t="n">
        <x:f>SUMIFS('Cash'!$C$5:$C$97,'Cash'!$A$5:$A$97,"&lt;="&amp;A278,'Cash'!$B$5:$B$97,"DIVIDEND_NET")</x:f>
        <x:v>137750</x:v>
      </x:c>
      <x:c r="F278" s="30" t="str">
        <x:v>n.a.</x:v>
      </x:c>
      <x:c r="G278" s="30" t="str">
        <x:v>n.a.</x:v>
      </x:c>
      <x:c r="H278" s="30" t="str">
        <x:v>n.a.</x:v>
      </x:c>
      <x:c r="I278" s="30" t="str">
        <x:f>IF(COUNT(B278,F278:H278)=4,B278+F278+G278-H278,"n.a.")</x:f>
        <x:v>n.a.</x:v>
      </x:c>
      <x:c r="J278" s="30" t="str">
        <x:v>n.a.</x:v>
      </x:c>
      <x:c r="K278" s="17"/>
      <x:c r="L278" s="17"/>
      <x:c r="M278" s="17"/>
      <x:c r="N278" s="17"/>
    </x:row>
    <x:row r="279" ht="21" customHeight="1">
      <x:c r="A279" s="27" t="d">
        <x:v>2026-03-31T00:00:00.000Z</x:v>
      </x:c>
      <x:c r="B279" s="22" t="n">
        <x:f>SUMIFS('Cash'!$C$5:$C$97,'Cash'!$A$5:$A$97,"&lt;="&amp;A279)</x:f>
        <x:v>0</x:v>
      </x:c>
      <x:c r="C279" s="22" t="n">
        <x:f>SUMIFS('Cash'!$C$5:$C$97,'Cash'!$A$5:$A$97,A279)</x:f>
        <x:v>-36</x:v>
      </x:c>
      <x:c r="D279" s="22" t="n">
        <x:f>SUMIFS('Cash'!$C$5:$C$97,'Cash'!$A$5:$A$97,"&lt;="&amp;A279,'Cash'!$B$5:$B$97,"EXTERNAL_FUNDING")</x:f>
        <x:v>57285363</x:v>
      </x:c>
      <x:c r="E279" s="22" t="n">
        <x:f>SUMIFS('Cash'!$C$5:$C$97,'Cash'!$A$5:$A$97,"&lt;="&amp;A279,'Cash'!$B$5:$B$97,"DIVIDEND_NET")</x:f>
        <x:v>137750</x:v>
      </x:c>
      <x:c r="F279" s="30" t="str">
        <x:v>n.a.</x:v>
      </x:c>
      <x:c r="G279" s="30" t="str">
        <x:v>n.a.</x:v>
      </x:c>
      <x:c r="H279" s="30" t="str">
        <x:v>n.a.</x:v>
      </x:c>
      <x:c r="I279" s="30" t="str">
        <x:f>IF(COUNT(B279,F279:H279)=4,B279+F279+G279-H279,"n.a.")</x:f>
        <x:v>n.a.</x:v>
      </x:c>
      <x:c r="J279" s="30" t="str">
        <x:v>n.a.</x:v>
      </x:c>
      <x:c r="K279" s="17"/>
      <x:c r="L279" s="17"/>
      <x:c r="M279" s="17"/>
      <x:c r="N279" s="17"/>
    </x:row>
    <x:row r="280" ht="21" customHeight="1">
      <x:c r="A280" s="27" t="d">
        <x:v>2026-04-01T00:00:00.000Z</x:v>
      </x:c>
      <x:c r="B280" s="22" t="n">
        <x:f>SUMIFS('Cash'!$C$5:$C$97,'Cash'!$A$5:$A$97,"&lt;="&amp;A280)</x:f>
        <x:v>0</x:v>
      </x:c>
      <x:c r="C280" s="22" t="n">
        <x:f>SUMIFS('Cash'!$C$5:$C$97,'Cash'!$A$5:$A$97,A280)</x:f>
        <x:v>0</x:v>
      </x:c>
      <x:c r="D280" s="22" t="n">
        <x:f>SUMIFS('Cash'!$C$5:$C$97,'Cash'!$A$5:$A$97,"&lt;="&amp;A280,'Cash'!$B$5:$B$97,"EXTERNAL_FUNDING")</x:f>
        <x:v>57285363</x:v>
      </x:c>
      <x:c r="E280" s="22" t="n">
        <x:f>SUMIFS('Cash'!$C$5:$C$97,'Cash'!$A$5:$A$97,"&lt;="&amp;A280,'Cash'!$B$5:$B$97,"DIVIDEND_NET")</x:f>
        <x:v>137750</x:v>
      </x:c>
      <x:c r="F280" s="30" t="str">
        <x:v>n.a.</x:v>
      </x:c>
      <x:c r="G280" s="30" t="str">
        <x:v>n.a.</x:v>
      </x:c>
      <x:c r="H280" s="30" t="str">
        <x:v>n.a.</x:v>
      </x:c>
      <x:c r="I280" s="30" t="str">
        <x:f>IF(COUNT(B280,F280:H280)=4,B280+F280+G280-H280,"n.a.")</x:f>
        <x:v>n.a.</x:v>
      </x:c>
      <x:c r="J280" s="30" t="str">
        <x:v>n.a.</x:v>
      </x:c>
      <x:c r="K280" s="17"/>
      <x:c r="L280" s="17"/>
      <x:c r="M280" s="17"/>
      <x:c r="N280" s="17"/>
    </x:row>
    <x:row r="281" ht="21" customHeight="1">
      <x:c r="A281" s="27" t="d">
        <x:v>2026-04-02T00:00:00.000Z</x:v>
      </x:c>
      <x:c r="B281" s="22" t="n">
        <x:f>SUMIFS('Cash'!$C$5:$C$97,'Cash'!$A$5:$A$97,"&lt;="&amp;A281)</x:f>
        <x:v>0</x:v>
      </x:c>
      <x:c r="C281" s="22" t="n">
        <x:f>SUMIFS('Cash'!$C$5:$C$97,'Cash'!$A$5:$A$97,A281)</x:f>
        <x:v>0</x:v>
      </x:c>
      <x:c r="D281" s="22" t="n">
        <x:f>SUMIFS('Cash'!$C$5:$C$97,'Cash'!$A$5:$A$97,"&lt;="&amp;A281,'Cash'!$B$5:$B$97,"EXTERNAL_FUNDING")</x:f>
        <x:v>57285363</x:v>
      </x:c>
      <x:c r="E281" s="22" t="n">
        <x:f>SUMIFS('Cash'!$C$5:$C$97,'Cash'!$A$5:$A$97,"&lt;="&amp;A281,'Cash'!$B$5:$B$97,"DIVIDEND_NET")</x:f>
        <x:v>137750</x:v>
      </x:c>
      <x:c r="F281" s="30" t="str">
        <x:v>n.a.</x:v>
      </x:c>
      <x:c r="G281" s="30" t="str">
        <x:v>n.a.</x:v>
      </x:c>
      <x:c r="H281" s="30" t="str">
        <x:v>n.a.</x:v>
      </x:c>
      <x:c r="I281" s="30" t="str">
        <x:f>IF(COUNT(B281,F281:H281)=4,B281+F281+G281-H281,"n.a.")</x:f>
        <x:v>n.a.</x:v>
      </x:c>
      <x:c r="J281" s="30" t="str">
        <x:v>n.a.</x:v>
      </x:c>
      <x:c r="K281" s="17"/>
      <x:c r="L281" s="17"/>
      <x:c r="M281" s="17"/>
      <x:c r="N281" s="17"/>
    </x:row>
    <x:row r="282" ht="21" customHeight="1">
      <x:c r="A282" s="27" t="d">
        <x:v>2026-04-03T00:00:00.000Z</x:v>
      </x:c>
      <x:c r="B282" s="22" t="n">
        <x:f>SUMIFS('Cash'!$C$5:$C$97,'Cash'!$A$5:$A$97,"&lt;="&amp;A282)</x:f>
        <x:v>0</x:v>
      </x:c>
      <x:c r="C282" s="22" t="n">
        <x:f>SUMIFS('Cash'!$C$5:$C$97,'Cash'!$A$5:$A$97,A282)</x:f>
        <x:v>0</x:v>
      </x:c>
      <x:c r="D282" s="22" t="n">
        <x:f>SUMIFS('Cash'!$C$5:$C$97,'Cash'!$A$5:$A$97,"&lt;="&amp;A282,'Cash'!$B$5:$B$97,"EXTERNAL_FUNDING")</x:f>
        <x:v>57285363</x:v>
      </x:c>
      <x:c r="E282" s="22" t="n">
        <x:f>SUMIFS('Cash'!$C$5:$C$97,'Cash'!$A$5:$A$97,"&lt;="&amp;A282,'Cash'!$B$5:$B$97,"DIVIDEND_NET")</x:f>
        <x:v>137750</x:v>
      </x:c>
      <x:c r="F282" s="30" t="str">
        <x:v>n.a.</x:v>
      </x:c>
      <x:c r="G282" s="30" t="str">
        <x:v>n.a.</x:v>
      </x:c>
      <x:c r="H282" s="30" t="str">
        <x:v>n.a.</x:v>
      </x:c>
      <x:c r="I282" s="30" t="str">
        <x:f>IF(COUNT(B282,F282:H282)=4,B282+F282+G282-H282,"n.a.")</x:f>
        <x:v>n.a.</x:v>
      </x:c>
      <x:c r="J282" s="30" t="str">
        <x:v>n.a.</x:v>
      </x:c>
      <x:c r="K282" s="17"/>
      <x:c r="L282" s="17"/>
      <x:c r="M282" s="17"/>
      <x:c r="N282" s="17"/>
    </x:row>
    <x:row r="283" ht="21" customHeight="1">
      <x:c r="A283" s="27" t="d">
        <x:v>2026-04-04T00:00:00.000Z</x:v>
      </x:c>
      <x:c r="B283" s="22" t="n">
        <x:f>SUMIFS('Cash'!$C$5:$C$97,'Cash'!$A$5:$A$97,"&lt;="&amp;A283)</x:f>
        <x:v>0</x:v>
      </x:c>
      <x:c r="C283" s="22" t="n">
        <x:f>SUMIFS('Cash'!$C$5:$C$97,'Cash'!$A$5:$A$97,A283)</x:f>
        <x:v>0</x:v>
      </x:c>
      <x:c r="D283" s="22" t="n">
        <x:f>SUMIFS('Cash'!$C$5:$C$97,'Cash'!$A$5:$A$97,"&lt;="&amp;A283,'Cash'!$B$5:$B$97,"EXTERNAL_FUNDING")</x:f>
        <x:v>57285363</x:v>
      </x:c>
      <x:c r="E283" s="22" t="n">
        <x:f>SUMIFS('Cash'!$C$5:$C$97,'Cash'!$A$5:$A$97,"&lt;="&amp;A283,'Cash'!$B$5:$B$97,"DIVIDEND_NET")</x:f>
        <x:v>137750</x:v>
      </x:c>
      <x:c r="F283" s="30" t="str">
        <x:v>n.a.</x:v>
      </x:c>
      <x:c r="G283" s="30" t="str">
        <x:v>n.a.</x:v>
      </x:c>
      <x:c r="H283" s="30" t="str">
        <x:v>n.a.</x:v>
      </x:c>
      <x:c r="I283" s="30" t="str">
        <x:f>IF(COUNT(B283,F283:H283)=4,B283+F283+G283-H283,"n.a.")</x:f>
        <x:v>n.a.</x:v>
      </x:c>
      <x:c r="J283" s="30" t="str">
        <x:v>n.a.</x:v>
      </x:c>
      <x:c r="K283" s="17"/>
      <x:c r="L283" s="17"/>
      <x:c r="M283" s="17"/>
      <x:c r="N283" s="17"/>
    </x:row>
    <x:row r="284" ht="21" customHeight="1">
      <x:c r="A284" s="27" t="d">
        <x:v>2026-04-05T00:00:00.000Z</x:v>
      </x:c>
      <x:c r="B284" s="22" t="n">
        <x:f>SUMIFS('Cash'!$C$5:$C$97,'Cash'!$A$5:$A$97,"&lt;="&amp;A284)</x:f>
        <x:v>0</x:v>
      </x:c>
      <x:c r="C284" s="22" t="n">
        <x:f>SUMIFS('Cash'!$C$5:$C$97,'Cash'!$A$5:$A$97,A284)</x:f>
        <x:v>0</x:v>
      </x:c>
      <x:c r="D284" s="22" t="n">
        <x:f>SUMIFS('Cash'!$C$5:$C$97,'Cash'!$A$5:$A$97,"&lt;="&amp;A284,'Cash'!$B$5:$B$97,"EXTERNAL_FUNDING")</x:f>
        <x:v>57285363</x:v>
      </x:c>
      <x:c r="E284" s="22" t="n">
        <x:f>SUMIFS('Cash'!$C$5:$C$97,'Cash'!$A$5:$A$97,"&lt;="&amp;A284,'Cash'!$B$5:$B$97,"DIVIDEND_NET")</x:f>
        <x:v>137750</x:v>
      </x:c>
      <x:c r="F284" s="30" t="str">
        <x:v>n.a.</x:v>
      </x:c>
      <x:c r="G284" s="30" t="str">
        <x:v>n.a.</x:v>
      </x:c>
      <x:c r="H284" s="30" t="str">
        <x:v>n.a.</x:v>
      </x:c>
      <x:c r="I284" s="30" t="str">
        <x:f>IF(COUNT(B284,F284:H284)=4,B284+F284+G284-H284,"n.a.")</x:f>
        <x:v>n.a.</x:v>
      </x:c>
      <x:c r="J284" s="30" t="str">
        <x:v>n.a.</x:v>
      </x:c>
      <x:c r="K284" s="17"/>
      <x:c r="L284" s="17"/>
      <x:c r="M284" s="17"/>
      <x:c r="N284" s="17"/>
    </x:row>
    <x:row r="285" ht="21" customHeight="1">
      <x:c r="A285" s="27" t="d">
        <x:v>2026-04-06T00:00:00.000Z</x:v>
      </x:c>
      <x:c r="B285" s="22" t="n">
        <x:f>SUMIFS('Cash'!$C$5:$C$97,'Cash'!$A$5:$A$97,"&lt;="&amp;A285)</x:f>
        <x:v>0</x:v>
      </x:c>
      <x:c r="C285" s="22" t="n">
        <x:f>SUMIFS('Cash'!$C$5:$C$97,'Cash'!$A$5:$A$97,A285)</x:f>
        <x:v>0</x:v>
      </x:c>
      <x:c r="D285" s="22" t="n">
        <x:f>SUMIFS('Cash'!$C$5:$C$97,'Cash'!$A$5:$A$97,"&lt;="&amp;A285,'Cash'!$B$5:$B$97,"EXTERNAL_FUNDING")</x:f>
        <x:v>57285363</x:v>
      </x:c>
      <x:c r="E285" s="22" t="n">
        <x:f>SUMIFS('Cash'!$C$5:$C$97,'Cash'!$A$5:$A$97,"&lt;="&amp;A285,'Cash'!$B$5:$B$97,"DIVIDEND_NET")</x:f>
        <x:v>137750</x:v>
      </x:c>
      <x:c r="F285" s="30" t="str">
        <x:v>n.a.</x:v>
      </x:c>
      <x:c r="G285" s="30" t="str">
        <x:v>n.a.</x:v>
      </x:c>
      <x:c r="H285" s="30" t="str">
        <x:v>n.a.</x:v>
      </x:c>
      <x:c r="I285" s="30" t="str">
        <x:f>IF(COUNT(B285,F285:H285)=4,B285+F285+G285-H285,"n.a.")</x:f>
        <x:v>n.a.</x:v>
      </x:c>
      <x:c r="J285" s="30" t="str">
        <x:v>n.a.</x:v>
      </x:c>
      <x:c r="K285" s="17"/>
      <x:c r="L285" s="17"/>
      <x:c r="M285" s="17"/>
      <x:c r="N285" s="17"/>
    </x:row>
    <x:row r="286" ht="21" customHeight="1">
      <x:c r="A286" s="27" t="d">
        <x:v>2026-04-07T00:00:00.000Z</x:v>
      </x:c>
      <x:c r="B286" s="22" t="n">
        <x:f>SUMIFS('Cash'!$C$5:$C$97,'Cash'!$A$5:$A$97,"&lt;="&amp;A286)</x:f>
        <x:v>0</x:v>
      </x:c>
      <x:c r="C286" s="22" t="n">
        <x:f>SUMIFS('Cash'!$C$5:$C$97,'Cash'!$A$5:$A$97,A286)</x:f>
        <x:v>0</x:v>
      </x:c>
      <x:c r="D286" s="22" t="n">
        <x:f>SUMIFS('Cash'!$C$5:$C$97,'Cash'!$A$5:$A$97,"&lt;="&amp;A286,'Cash'!$B$5:$B$97,"EXTERNAL_FUNDING")</x:f>
        <x:v>57285363</x:v>
      </x:c>
      <x:c r="E286" s="22" t="n">
        <x:f>SUMIFS('Cash'!$C$5:$C$97,'Cash'!$A$5:$A$97,"&lt;="&amp;A286,'Cash'!$B$5:$B$97,"DIVIDEND_NET")</x:f>
        <x:v>137750</x:v>
      </x:c>
      <x:c r="F286" s="30" t="str">
        <x:v>n.a.</x:v>
      </x:c>
      <x:c r="G286" s="30" t="str">
        <x:v>n.a.</x:v>
      </x:c>
      <x:c r="H286" s="30" t="str">
        <x:v>n.a.</x:v>
      </x:c>
      <x:c r="I286" s="30" t="str">
        <x:f>IF(COUNT(B286,F286:H286)=4,B286+F286+G286-H286,"n.a.")</x:f>
        <x:v>n.a.</x:v>
      </x:c>
      <x:c r="J286" s="30" t="str">
        <x:v>n.a.</x:v>
      </x:c>
      <x:c r="K286" s="17"/>
      <x:c r="L286" s="17"/>
      <x:c r="M286" s="17"/>
      <x:c r="N286" s="17"/>
    </x:row>
    <x:row r="287" ht="21" customHeight="1">
      <x:c r="A287" s="27" t="d">
        <x:v>2026-04-08T00:00:00.000Z</x:v>
      </x:c>
      <x:c r="B287" s="22" t="n">
        <x:f>SUMIFS('Cash'!$C$5:$C$97,'Cash'!$A$5:$A$97,"&lt;="&amp;A287)</x:f>
        <x:v>0</x:v>
      </x:c>
      <x:c r="C287" s="22" t="n">
        <x:f>SUMIFS('Cash'!$C$5:$C$97,'Cash'!$A$5:$A$97,A287)</x:f>
        <x:v>0</x:v>
      </x:c>
      <x:c r="D287" s="22" t="n">
        <x:f>SUMIFS('Cash'!$C$5:$C$97,'Cash'!$A$5:$A$97,"&lt;="&amp;A287,'Cash'!$B$5:$B$97,"EXTERNAL_FUNDING")</x:f>
        <x:v>57285363</x:v>
      </x:c>
      <x:c r="E287" s="22" t="n">
        <x:f>SUMIFS('Cash'!$C$5:$C$97,'Cash'!$A$5:$A$97,"&lt;="&amp;A287,'Cash'!$B$5:$B$97,"DIVIDEND_NET")</x:f>
        <x:v>137750</x:v>
      </x:c>
      <x:c r="F287" s="30" t="str">
        <x:v>n.a.</x:v>
      </x:c>
      <x:c r="G287" s="30" t="str">
        <x:v>n.a.</x:v>
      </x:c>
      <x:c r="H287" s="30" t="str">
        <x:v>n.a.</x:v>
      </x:c>
      <x:c r="I287" s="30" t="str">
        <x:f>IF(COUNT(B287,F287:H287)=4,B287+F287+G287-H287,"n.a.")</x:f>
        <x:v>n.a.</x:v>
      </x:c>
      <x:c r="J287" s="30" t="str">
        <x:v>n.a.</x:v>
      </x:c>
      <x:c r="K287" s="17"/>
      <x:c r="L287" s="17"/>
      <x:c r="M287" s="17"/>
      <x:c r="N287" s="17"/>
    </x:row>
    <x:row r="288" ht="21" customHeight="1">
      <x:c r="A288" s="27" t="d">
        <x:v>2026-04-09T00:00:00.000Z</x:v>
      </x:c>
      <x:c r="B288" s="22" t="n">
        <x:f>SUMIFS('Cash'!$C$5:$C$97,'Cash'!$A$5:$A$97,"&lt;="&amp;A288)</x:f>
        <x:v>0</x:v>
      </x:c>
      <x:c r="C288" s="22" t="n">
        <x:f>SUMIFS('Cash'!$C$5:$C$97,'Cash'!$A$5:$A$97,A288)</x:f>
        <x:v>0</x:v>
      </x:c>
      <x:c r="D288" s="22" t="n">
        <x:f>SUMIFS('Cash'!$C$5:$C$97,'Cash'!$A$5:$A$97,"&lt;="&amp;A288,'Cash'!$B$5:$B$97,"EXTERNAL_FUNDING")</x:f>
        <x:v>57285363</x:v>
      </x:c>
      <x:c r="E288" s="22" t="n">
        <x:f>SUMIFS('Cash'!$C$5:$C$97,'Cash'!$A$5:$A$97,"&lt;="&amp;A288,'Cash'!$B$5:$B$97,"DIVIDEND_NET")</x:f>
        <x:v>137750</x:v>
      </x:c>
      <x:c r="F288" s="30" t="str">
        <x:v>n.a.</x:v>
      </x:c>
      <x:c r="G288" s="30" t="str">
        <x:v>n.a.</x:v>
      </x:c>
      <x:c r="H288" s="30" t="str">
        <x:v>n.a.</x:v>
      </x:c>
      <x:c r="I288" s="30" t="str">
        <x:f>IF(COUNT(B288,F288:H288)=4,B288+F288+G288-H288,"n.a.")</x:f>
        <x:v>n.a.</x:v>
      </x:c>
      <x:c r="J288" s="30" t="str">
        <x:v>n.a.</x:v>
      </x:c>
      <x:c r="K288" s="17"/>
      <x:c r="L288" s="17"/>
      <x:c r="M288" s="17"/>
      <x:c r="N288" s="17"/>
    </x:row>
    <x:row r="289" ht="21" customHeight="1">
      <x:c r="A289" s="27" t="d">
        <x:v>2026-04-10T00:00:00.000Z</x:v>
      </x:c>
      <x:c r="B289" s="22" t="n">
        <x:f>SUMIFS('Cash'!$C$5:$C$97,'Cash'!$A$5:$A$97,"&lt;="&amp;A289)</x:f>
        <x:v>0</x:v>
      </x:c>
      <x:c r="C289" s="22" t="n">
        <x:f>SUMIFS('Cash'!$C$5:$C$97,'Cash'!$A$5:$A$97,A289)</x:f>
        <x:v>0</x:v>
      </x:c>
      <x:c r="D289" s="22" t="n">
        <x:f>SUMIFS('Cash'!$C$5:$C$97,'Cash'!$A$5:$A$97,"&lt;="&amp;A289,'Cash'!$B$5:$B$97,"EXTERNAL_FUNDING")</x:f>
        <x:v>57285363</x:v>
      </x:c>
      <x:c r="E289" s="22" t="n">
        <x:f>SUMIFS('Cash'!$C$5:$C$97,'Cash'!$A$5:$A$97,"&lt;="&amp;A289,'Cash'!$B$5:$B$97,"DIVIDEND_NET")</x:f>
        <x:v>137750</x:v>
      </x:c>
      <x:c r="F289" s="30" t="str">
        <x:v>n.a.</x:v>
      </x:c>
      <x:c r="G289" s="30" t="str">
        <x:v>n.a.</x:v>
      </x:c>
      <x:c r="H289" s="30" t="str">
        <x:v>n.a.</x:v>
      </x:c>
      <x:c r="I289" s="30" t="str">
        <x:f>IF(COUNT(B289,F289:H289)=4,B289+F289+G289-H289,"n.a.")</x:f>
        <x:v>n.a.</x:v>
      </x:c>
      <x:c r="J289" s="30" t="str">
        <x:v>n.a.</x:v>
      </x:c>
      <x:c r="K289" s="17"/>
      <x:c r="L289" s="17"/>
      <x:c r="M289" s="17"/>
      <x:c r="N289" s="17"/>
    </x:row>
    <x:row r="290" ht="21" customHeight="1">
      <x:c r="A290" s="27" t="d">
        <x:v>2026-04-11T00:00:00.000Z</x:v>
      </x:c>
      <x:c r="B290" s="22" t="n">
        <x:f>SUMIFS('Cash'!$C$5:$C$97,'Cash'!$A$5:$A$97,"&lt;="&amp;A290)</x:f>
        <x:v>0</x:v>
      </x:c>
      <x:c r="C290" s="22" t="n">
        <x:f>SUMIFS('Cash'!$C$5:$C$97,'Cash'!$A$5:$A$97,A290)</x:f>
        <x:v>0</x:v>
      </x:c>
      <x:c r="D290" s="22" t="n">
        <x:f>SUMIFS('Cash'!$C$5:$C$97,'Cash'!$A$5:$A$97,"&lt;="&amp;A290,'Cash'!$B$5:$B$97,"EXTERNAL_FUNDING")</x:f>
        <x:v>57285363</x:v>
      </x:c>
      <x:c r="E290" s="22" t="n">
        <x:f>SUMIFS('Cash'!$C$5:$C$97,'Cash'!$A$5:$A$97,"&lt;="&amp;A290,'Cash'!$B$5:$B$97,"DIVIDEND_NET")</x:f>
        <x:v>137750</x:v>
      </x:c>
      <x:c r="F290" s="30" t="str">
        <x:v>n.a.</x:v>
      </x:c>
      <x:c r="G290" s="30" t="str">
        <x:v>n.a.</x:v>
      </x:c>
      <x:c r="H290" s="30" t="str">
        <x:v>n.a.</x:v>
      </x:c>
      <x:c r="I290" s="30" t="str">
        <x:f>IF(COUNT(B290,F290:H290)=4,B290+F290+G290-H290,"n.a.")</x:f>
        <x:v>n.a.</x:v>
      </x:c>
      <x:c r="J290" s="30" t="str">
        <x:v>n.a.</x:v>
      </x:c>
      <x:c r="K290" s="17"/>
      <x:c r="L290" s="17"/>
      <x:c r="M290" s="17"/>
      <x:c r="N290" s="17"/>
    </x:row>
    <x:row r="291" ht="21" customHeight="1">
      <x:c r="A291" s="27" t="d">
        <x:v>2026-04-12T00:00:00.000Z</x:v>
      </x:c>
      <x:c r="B291" s="22" t="n">
        <x:f>SUMIFS('Cash'!$C$5:$C$97,'Cash'!$A$5:$A$97,"&lt;="&amp;A291)</x:f>
        <x:v>0</x:v>
      </x:c>
      <x:c r="C291" s="22" t="n">
        <x:f>SUMIFS('Cash'!$C$5:$C$97,'Cash'!$A$5:$A$97,A291)</x:f>
        <x:v>0</x:v>
      </x:c>
      <x:c r="D291" s="22" t="n">
        <x:f>SUMIFS('Cash'!$C$5:$C$97,'Cash'!$A$5:$A$97,"&lt;="&amp;A291,'Cash'!$B$5:$B$97,"EXTERNAL_FUNDING")</x:f>
        <x:v>57285363</x:v>
      </x:c>
      <x:c r="E291" s="22" t="n">
        <x:f>SUMIFS('Cash'!$C$5:$C$97,'Cash'!$A$5:$A$97,"&lt;="&amp;A291,'Cash'!$B$5:$B$97,"DIVIDEND_NET")</x:f>
        <x:v>137750</x:v>
      </x:c>
      <x:c r="F291" s="30" t="str">
        <x:v>n.a.</x:v>
      </x:c>
      <x:c r="G291" s="30" t="str">
        <x:v>n.a.</x:v>
      </x:c>
      <x:c r="H291" s="30" t="str">
        <x:v>n.a.</x:v>
      </x:c>
      <x:c r="I291" s="30" t="str">
        <x:f>IF(COUNT(B291,F291:H291)=4,B291+F291+G291-H291,"n.a.")</x:f>
        <x:v>n.a.</x:v>
      </x:c>
      <x:c r="J291" s="30" t="str">
        <x:v>n.a.</x:v>
      </x:c>
      <x:c r="K291" s="17"/>
      <x:c r="L291" s="17"/>
      <x:c r="M291" s="17"/>
      <x:c r="N291" s="17"/>
    </x:row>
    <x:row r="292" ht="21" customHeight="1">
      <x:c r="A292" s="27" t="d">
        <x:v>2026-04-13T00:00:00.000Z</x:v>
      </x:c>
      <x:c r="B292" s="22" t="n">
        <x:f>SUMIFS('Cash'!$C$5:$C$97,'Cash'!$A$5:$A$97,"&lt;="&amp;A292)</x:f>
        <x:v>0</x:v>
      </x:c>
      <x:c r="C292" s="22" t="n">
        <x:f>SUMIFS('Cash'!$C$5:$C$97,'Cash'!$A$5:$A$97,A292)</x:f>
        <x:v>0</x:v>
      </x:c>
      <x:c r="D292" s="22" t="n">
        <x:f>SUMIFS('Cash'!$C$5:$C$97,'Cash'!$A$5:$A$97,"&lt;="&amp;A292,'Cash'!$B$5:$B$97,"EXTERNAL_FUNDING")</x:f>
        <x:v>57285363</x:v>
      </x:c>
      <x:c r="E292" s="22" t="n">
        <x:f>SUMIFS('Cash'!$C$5:$C$97,'Cash'!$A$5:$A$97,"&lt;="&amp;A292,'Cash'!$B$5:$B$97,"DIVIDEND_NET")</x:f>
        <x:v>137750</x:v>
      </x:c>
      <x:c r="F292" s="30" t="str">
        <x:v>n.a.</x:v>
      </x:c>
      <x:c r="G292" s="30" t="str">
        <x:v>n.a.</x:v>
      </x:c>
      <x:c r="H292" s="30" t="str">
        <x:v>n.a.</x:v>
      </x:c>
      <x:c r="I292" s="30" t="str">
        <x:f>IF(COUNT(B292,F292:H292)=4,B292+F292+G292-H292,"n.a.")</x:f>
        <x:v>n.a.</x:v>
      </x:c>
      <x:c r="J292" s="30" t="str">
        <x:v>n.a.</x:v>
      </x:c>
      <x:c r="K292" s="17"/>
      <x:c r="L292" s="17"/>
      <x:c r="M292" s="17"/>
      <x:c r="N292" s="17"/>
    </x:row>
    <x:row r="293" ht="21" customHeight="1">
      <x:c r="A293" s="27" t="d">
        <x:v>2026-04-14T00:00:00.000Z</x:v>
      </x:c>
      <x:c r="B293" s="22" t="n">
        <x:f>SUMIFS('Cash'!$C$5:$C$97,'Cash'!$A$5:$A$97,"&lt;="&amp;A293)</x:f>
        <x:v>0</x:v>
      </x:c>
      <x:c r="C293" s="22" t="n">
        <x:f>SUMIFS('Cash'!$C$5:$C$97,'Cash'!$A$5:$A$97,A293)</x:f>
        <x:v>0</x:v>
      </x:c>
      <x:c r="D293" s="22" t="n">
        <x:f>SUMIFS('Cash'!$C$5:$C$97,'Cash'!$A$5:$A$97,"&lt;="&amp;A293,'Cash'!$B$5:$B$97,"EXTERNAL_FUNDING")</x:f>
        <x:v>57285363</x:v>
      </x:c>
      <x:c r="E293" s="22" t="n">
        <x:f>SUMIFS('Cash'!$C$5:$C$97,'Cash'!$A$5:$A$97,"&lt;="&amp;A293,'Cash'!$B$5:$B$97,"DIVIDEND_NET")</x:f>
        <x:v>137750</x:v>
      </x:c>
      <x:c r="F293" s="30" t="str">
        <x:v>n.a.</x:v>
      </x:c>
      <x:c r="G293" s="30" t="str">
        <x:v>n.a.</x:v>
      </x:c>
      <x:c r="H293" s="30" t="str">
        <x:v>n.a.</x:v>
      </x:c>
      <x:c r="I293" s="30" t="str">
        <x:f>IF(COUNT(B293,F293:H293)=4,B293+F293+G293-H293,"n.a.")</x:f>
        <x:v>n.a.</x:v>
      </x:c>
      <x:c r="J293" s="30" t="str">
        <x:v>n.a.</x:v>
      </x:c>
      <x:c r="K293" s="17"/>
      <x:c r="L293" s="17"/>
      <x:c r="M293" s="17"/>
      <x:c r="N293" s="17"/>
    </x:row>
    <x:row r="294" ht="21" customHeight="1">
      <x:c r="A294" s="27" t="d">
        <x:v>2026-04-15T00:00:00.000Z</x:v>
      </x:c>
      <x:c r="B294" s="22" t="n">
        <x:f>SUMIFS('Cash'!$C$5:$C$97,'Cash'!$A$5:$A$97,"&lt;="&amp;A294)</x:f>
        <x:v>0</x:v>
      </x:c>
      <x:c r="C294" s="22" t="n">
        <x:f>SUMIFS('Cash'!$C$5:$C$97,'Cash'!$A$5:$A$97,A294)</x:f>
        <x:v>0</x:v>
      </x:c>
      <x:c r="D294" s="22" t="n">
        <x:f>SUMIFS('Cash'!$C$5:$C$97,'Cash'!$A$5:$A$97,"&lt;="&amp;A294,'Cash'!$B$5:$B$97,"EXTERNAL_FUNDING")</x:f>
        <x:v>57285363</x:v>
      </x:c>
      <x:c r="E294" s="22" t="n">
        <x:f>SUMIFS('Cash'!$C$5:$C$97,'Cash'!$A$5:$A$97,"&lt;="&amp;A294,'Cash'!$B$5:$B$97,"DIVIDEND_NET")</x:f>
        <x:v>137750</x:v>
      </x:c>
      <x:c r="F294" s="30" t="str">
        <x:v>n.a.</x:v>
      </x:c>
      <x:c r="G294" s="30" t="str">
        <x:v>n.a.</x:v>
      </x:c>
      <x:c r="H294" s="30" t="str">
        <x:v>n.a.</x:v>
      </x:c>
      <x:c r="I294" s="30" t="str">
        <x:f>IF(COUNT(B294,F294:H294)=4,B294+F294+G294-H294,"n.a.")</x:f>
        <x:v>n.a.</x:v>
      </x:c>
      <x:c r="J294" s="30" t="str">
        <x:v>n.a.</x:v>
      </x:c>
      <x:c r="K294" s="17"/>
      <x:c r="L294" s="17"/>
      <x:c r="M294" s="17"/>
      <x:c r="N294" s="17"/>
    </x:row>
    <x:row r="295" ht="21" customHeight="1">
      <x:c r="A295" s="27" t="d">
        <x:v>2026-04-16T00:00:00.000Z</x:v>
      </x:c>
      <x:c r="B295" s="22" t="n">
        <x:f>SUMIFS('Cash'!$C$5:$C$97,'Cash'!$A$5:$A$97,"&lt;="&amp;A295)</x:f>
        <x:v>0</x:v>
      </x:c>
      <x:c r="C295" s="22" t="n">
        <x:f>SUMIFS('Cash'!$C$5:$C$97,'Cash'!$A$5:$A$97,A295)</x:f>
        <x:v>0</x:v>
      </x:c>
      <x:c r="D295" s="22" t="n">
        <x:f>SUMIFS('Cash'!$C$5:$C$97,'Cash'!$A$5:$A$97,"&lt;="&amp;A295,'Cash'!$B$5:$B$97,"EXTERNAL_FUNDING")</x:f>
        <x:v>57285363</x:v>
      </x:c>
      <x:c r="E295" s="22" t="n">
        <x:f>SUMIFS('Cash'!$C$5:$C$97,'Cash'!$A$5:$A$97,"&lt;="&amp;A295,'Cash'!$B$5:$B$97,"DIVIDEND_NET")</x:f>
        <x:v>137750</x:v>
      </x:c>
      <x:c r="F295" s="30" t="str">
        <x:v>n.a.</x:v>
      </x:c>
      <x:c r="G295" s="30" t="str">
        <x:v>n.a.</x:v>
      </x:c>
      <x:c r="H295" s="30" t="str">
        <x:v>n.a.</x:v>
      </x:c>
      <x:c r="I295" s="30" t="str">
        <x:f>IF(COUNT(B295,F295:H295)=4,B295+F295+G295-H295,"n.a.")</x:f>
        <x:v>n.a.</x:v>
      </x:c>
      <x:c r="J295" s="30" t="str">
        <x:v>n.a.</x:v>
      </x:c>
      <x:c r="K295" s="17"/>
      <x:c r="L295" s="17"/>
      <x:c r="M295" s="17"/>
      <x:c r="N295" s="17"/>
    </x:row>
    <x:row r="296" ht="21" customHeight="1">
      <x:c r="A296" s="27" t="d">
        <x:v>2026-04-17T00:00:00.000Z</x:v>
      </x:c>
      <x:c r="B296" s="22" t="n">
        <x:f>SUMIFS('Cash'!$C$5:$C$97,'Cash'!$A$5:$A$97,"&lt;="&amp;A296)</x:f>
        <x:v>0</x:v>
      </x:c>
      <x:c r="C296" s="22" t="n">
        <x:f>SUMIFS('Cash'!$C$5:$C$97,'Cash'!$A$5:$A$97,A296)</x:f>
        <x:v>0</x:v>
      </x:c>
      <x:c r="D296" s="22" t="n">
        <x:f>SUMIFS('Cash'!$C$5:$C$97,'Cash'!$A$5:$A$97,"&lt;="&amp;A296,'Cash'!$B$5:$B$97,"EXTERNAL_FUNDING")</x:f>
        <x:v>57285363</x:v>
      </x:c>
      <x:c r="E296" s="22" t="n">
        <x:f>SUMIFS('Cash'!$C$5:$C$97,'Cash'!$A$5:$A$97,"&lt;="&amp;A296,'Cash'!$B$5:$B$97,"DIVIDEND_NET")</x:f>
        <x:v>137750</x:v>
      </x:c>
      <x:c r="F296" s="30" t="str">
        <x:v>n.a.</x:v>
      </x:c>
      <x:c r="G296" s="30" t="str">
        <x:v>n.a.</x:v>
      </x:c>
      <x:c r="H296" s="30" t="str">
        <x:v>n.a.</x:v>
      </x:c>
      <x:c r="I296" s="30" t="str">
        <x:f>IF(COUNT(B296,F296:H296)=4,B296+F296+G296-H296,"n.a.")</x:f>
        <x:v>n.a.</x:v>
      </x:c>
      <x:c r="J296" s="30" t="str">
        <x:v>n.a.</x:v>
      </x:c>
      <x:c r="K296" s="17"/>
      <x:c r="L296" s="17"/>
      <x:c r="M296" s="17"/>
      <x:c r="N296" s="17"/>
    </x:row>
    <x:row r="297" ht="21" customHeight="1">
      <x:c r="A297" s="27" t="d">
        <x:v>2026-04-18T00:00:00.000Z</x:v>
      </x:c>
      <x:c r="B297" s="22" t="n">
        <x:f>SUMIFS('Cash'!$C$5:$C$97,'Cash'!$A$5:$A$97,"&lt;="&amp;A297)</x:f>
        <x:v>0</x:v>
      </x:c>
      <x:c r="C297" s="22" t="n">
        <x:f>SUMIFS('Cash'!$C$5:$C$97,'Cash'!$A$5:$A$97,A297)</x:f>
        <x:v>0</x:v>
      </x:c>
      <x:c r="D297" s="22" t="n">
        <x:f>SUMIFS('Cash'!$C$5:$C$97,'Cash'!$A$5:$A$97,"&lt;="&amp;A297,'Cash'!$B$5:$B$97,"EXTERNAL_FUNDING")</x:f>
        <x:v>57285363</x:v>
      </x:c>
      <x:c r="E297" s="22" t="n">
        <x:f>SUMIFS('Cash'!$C$5:$C$97,'Cash'!$A$5:$A$97,"&lt;="&amp;A297,'Cash'!$B$5:$B$97,"DIVIDEND_NET")</x:f>
        <x:v>137750</x:v>
      </x:c>
      <x:c r="F297" s="30" t="str">
        <x:v>n.a.</x:v>
      </x:c>
      <x:c r="G297" s="30" t="str">
        <x:v>n.a.</x:v>
      </x:c>
      <x:c r="H297" s="30" t="str">
        <x:v>n.a.</x:v>
      </x:c>
      <x:c r="I297" s="30" t="str">
        <x:f>IF(COUNT(B297,F297:H297)=4,B297+F297+G297-H297,"n.a.")</x:f>
        <x:v>n.a.</x:v>
      </x:c>
      <x:c r="J297" s="30" t="str">
        <x:v>n.a.</x:v>
      </x:c>
      <x:c r="K297" s="17"/>
      <x:c r="L297" s="17"/>
      <x:c r="M297" s="17"/>
      <x:c r="N297" s="17"/>
    </x:row>
    <x:row r="298" ht="21" customHeight="1">
      <x:c r="A298" s="27" t="d">
        <x:v>2026-04-19T00:00:00.000Z</x:v>
      </x:c>
      <x:c r="B298" s="22" t="n">
        <x:f>SUMIFS('Cash'!$C$5:$C$97,'Cash'!$A$5:$A$97,"&lt;="&amp;A298)</x:f>
        <x:v>0</x:v>
      </x:c>
      <x:c r="C298" s="22" t="n">
        <x:f>SUMIFS('Cash'!$C$5:$C$97,'Cash'!$A$5:$A$97,A298)</x:f>
        <x:v>0</x:v>
      </x:c>
      <x:c r="D298" s="22" t="n">
        <x:f>SUMIFS('Cash'!$C$5:$C$97,'Cash'!$A$5:$A$97,"&lt;="&amp;A298,'Cash'!$B$5:$B$97,"EXTERNAL_FUNDING")</x:f>
        <x:v>57285363</x:v>
      </x:c>
      <x:c r="E298" s="22" t="n">
        <x:f>SUMIFS('Cash'!$C$5:$C$97,'Cash'!$A$5:$A$97,"&lt;="&amp;A298,'Cash'!$B$5:$B$97,"DIVIDEND_NET")</x:f>
        <x:v>137750</x:v>
      </x:c>
      <x:c r="F298" s="30" t="str">
        <x:v>n.a.</x:v>
      </x:c>
      <x:c r="G298" s="30" t="str">
        <x:v>n.a.</x:v>
      </x:c>
      <x:c r="H298" s="30" t="str">
        <x:v>n.a.</x:v>
      </x:c>
      <x:c r="I298" s="30" t="str">
        <x:f>IF(COUNT(B298,F298:H298)=4,B298+F298+G298-H298,"n.a.")</x:f>
        <x:v>n.a.</x:v>
      </x:c>
      <x:c r="J298" s="30" t="str">
        <x:v>n.a.</x:v>
      </x:c>
      <x:c r="K298" s="17"/>
      <x:c r="L298" s="17"/>
      <x:c r="M298" s="17"/>
      <x:c r="N298" s="17"/>
    </x:row>
    <x:row r="299" ht="21" customHeight="1">
      <x:c r="A299" s="27" t="d">
        <x:v>2026-04-20T00:00:00.000Z</x:v>
      </x:c>
      <x:c r="B299" s="22" t="n">
        <x:f>SUMIFS('Cash'!$C$5:$C$97,'Cash'!$A$5:$A$97,"&lt;="&amp;A299)</x:f>
        <x:v>0</x:v>
      </x:c>
      <x:c r="C299" s="22" t="n">
        <x:f>SUMIFS('Cash'!$C$5:$C$97,'Cash'!$A$5:$A$97,A299)</x:f>
        <x:v>0</x:v>
      </x:c>
      <x:c r="D299" s="22" t="n">
        <x:f>SUMIFS('Cash'!$C$5:$C$97,'Cash'!$A$5:$A$97,"&lt;="&amp;A299,'Cash'!$B$5:$B$97,"EXTERNAL_FUNDING")</x:f>
        <x:v>57285363</x:v>
      </x:c>
      <x:c r="E299" s="22" t="n">
        <x:f>SUMIFS('Cash'!$C$5:$C$97,'Cash'!$A$5:$A$97,"&lt;="&amp;A299,'Cash'!$B$5:$B$97,"DIVIDEND_NET")</x:f>
        <x:v>137750</x:v>
      </x:c>
      <x:c r="F299" s="30" t="str">
        <x:v>n.a.</x:v>
      </x:c>
      <x:c r="G299" s="30" t="str">
        <x:v>n.a.</x:v>
      </x:c>
      <x:c r="H299" s="30" t="str">
        <x:v>n.a.</x:v>
      </x:c>
      <x:c r="I299" s="30" t="str">
        <x:f>IF(COUNT(B299,F299:H299)=4,B299+F299+G299-H299,"n.a.")</x:f>
        <x:v>n.a.</x:v>
      </x:c>
      <x:c r="J299" s="30" t="str">
        <x:v>n.a.</x:v>
      </x:c>
      <x:c r="K299" s="17"/>
      <x:c r="L299" s="17"/>
      <x:c r="M299" s="17"/>
      <x:c r="N299" s="17"/>
    </x:row>
    <x:row r="300" ht="21" customHeight="1">
      <x:c r="A300" s="27" t="d">
        <x:v>2026-04-21T00:00:00.000Z</x:v>
      </x:c>
      <x:c r="B300" s="22" t="n">
        <x:f>SUMIFS('Cash'!$C$5:$C$97,'Cash'!$A$5:$A$97,"&lt;="&amp;A300)</x:f>
        <x:v>0</x:v>
      </x:c>
      <x:c r="C300" s="22" t="n">
        <x:f>SUMIFS('Cash'!$C$5:$C$97,'Cash'!$A$5:$A$97,A300)</x:f>
        <x:v>0</x:v>
      </x:c>
      <x:c r="D300" s="22" t="n">
        <x:f>SUMIFS('Cash'!$C$5:$C$97,'Cash'!$A$5:$A$97,"&lt;="&amp;A300,'Cash'!$B$5:$B$97,"EXTERNAL_FUNDING")</x:f>
        <x:v>57285363</x:v>
      </x:c>
      <x:c r="E300" s="22" t="n">
        <x:f>SUMIFS('Cash'!$C$5:$C$97,'Cash'!$A$5:$A$97,"&lt;="&amp;A300,'Cash'!$B$5:$B$97,"DIVIDEND_NET")</x:f>
        <x:v>137750</x:v>
      </x:c>
      <x:c r="F300" s="30" t="str">
        <x:v>n.a.</x:v>
      </x:c>
      <x:c r="G300" s="30" t="str">
        <x:v>n.a.</x:v>
      </x:c>
      <x:c r="H300" s="30" t="str">
        <x:v>n.a.</x:v>
      </x:c>
      <x:c r="I300" s="30" t="str">
        <x:f>IF(COUNT(B300,F300:H300)=4,B300+F300+G300-H300,"n.a.")</x:f>
        <x:v>n.a.</x:v>
      </x:c>
      <x:c r="J300" s="30" t="str">
        <x:v>n.a.</x:v>
      </x:c>
      <x:c r="K300" s="17"/>
      <x:c r="L300" s="17"/>
      <x:c r="M300" s="17"/>
      <x:c r="N300" s="17"/>
    </x:row>
    <x:row r="301" ht="21" customHeight="1">
      <x:c r="A301" s="27" t="d">
        <x:v>2026-04-22T00:00:00.000Z</x:v>
      </x:c>
      <x:c r="B301" s="22" t="n">
        <x:f>SUMIFS('Cash'!$C$5:$C$97,'Cash'!$A$5:$A$97,"&lt;="&amp;A301)</x:f>
        <x:v>0</x:v>
      </x:c>
      <x:c r="C301" s="22" t="n">
        <x:f>SUMIFS('Cash'!$C$5:$C$97,'Cash'!$A$5:$A$97,A301)</x:f>
        <x:v>0</x:v>
      </x:c>
      <x:c r="D301" s="22" t="n">
        <x:f>SUMIFS('Cash'!$C$5:$C$97,'Cash'!$A$5:$A$97,"&lt;="&amp;A301,'Cash'!$B$5:$B$97,"EXTERNAL_FUNDING")</x:f>
        <x:v>57285363</x:v>
      </x:c>
      <x:c r="E301" s="22" t="n">
        <x:f>SUMIFS('Cash'!$C$5:$C$97,'Cash'!$A$5:$A$97,"&lt;="&amp;A301,'Cash'!$B$5:$B$97,"DIVIDEND_NET")</x:f>
        <x:v>137750</x:v>
      </x:c>
      <x:c r="F301" s="30" t="str">
        <x:v>n.a.</x:v>
      </x:c>
      <x:c r="G301" s="30" t="str">
        <x:v>n.a.</x:v>
      </x:c>
      <x:c r="H301" s="30" t="str">
        <x:v>n.a.</x:v>
      </x:c>
      <x:c r="I301" s="30" t="str">
        <x:f>IF(COUNT(B301,F301:H301)=4,B301+F301+G301-H301,"n.a.")</x:f>
        <x:v>n.a.</x:v>
      </x:c>
      <x:c r="J301" s="30" t="str">
        <x:v>n.a.</x:v>
      </x:c>
      <x:c r="K301" s="17"/>
      <x:c r="L301" s="17"/>
      <x:c r="M301" s="17"/>
      <x:c r="N301" s="17"/>
    </x:row>
    <x:row r="302" ht="21" customHeight="1">
      <x:c r="A302" s="27" t="d">
        <x:v>2026-04-23T00:00:00.000Z</x:v>
      </x:c>
      <x:c r="B302" s="22" t="n">
        <x:f>SUMIFS('Cash'!$C$5:$C$97,'Cash'!$A$5:$A$97,"&lt;="&amp;A302)</x:f>
        <x:v>0</x:v>
      </x:c>
      <x:c r="C302" s="22" t="n">
        <x:f>SUMIFS('Cash'!$C$5:$C$97,'Cash'!$A$5:$A$97,A302)</x:f>
        <x:v>0</x:v>
      </x:c>
      <x:c r="D302" s="22" t="n">
        <x:f>SUMIFS('Cash'!$C$5:$C$97,'Cash'!$A$5:$A$97,"&lt;="&amp;A302,'Cash'!$B$5:$B$97,"EXTERNAL_FUNDING")</x:f>
        <x:v>57285363</x:v>
      </x:c>
      <x:c r="E302" s="22" t="n">
        <x:f>SUMIFS('Cash'!$C$5:$C$97,'Cash'!$A$5:$A$97,"&lt;="&amp;A302,'Cash'!$B$5:$B$97,"DIVIDEND_NET")</x:f>
        <x:v>137750</x:v>
      </x:c>
      <x:c r="F302" s="30" t="str">
        <x:v>n.a.</x:v>
      </x:c>
      <x:c r="G302" s="30" t="str">
        <x:v>n.a.</x:v>
      </x:c>
      <x:c r="H302" s="30" t="str">
        <x:v>n.a.</x:v>
      </x:c>
      <x:c r="I302" s="30" t="str">
        <x:f>IF(COUNT(B302,F302:H302)=4,B302+F302+G302-H302,"n.a.")</x:f>
        <x:v>n.a.</x:v>
      </x:c>
      <x:c r="J302" s="30" t="str">
        <x:v>n.a.</x:v>
      </x:c>
      <x:c r="K302" s="17"/>
      <x:c r="L302" s="17"/>
      <x:c r="M302" s="17"/>
      <x:c r="N302" s="17"/>
    </x:row>
    <x:row r="303" ht="21" customHeight="1">
      <x:c r="A303" s="27" t="d">
        <x:v>2026-04-24T00:00:00.000Z</x:v>
      </x:c>
      <x:c r="B303" s="22" t="n">
        <x:f>SUMIFS('Cash'!$C$5:$C$97,'Cash'!$A$5:$A$97,"&lt;="&amp;A303)</x:f>
        <x:v>0</x:v>
      </x:c>
      <x:c r="C303" s="22" t="n">
        <x:f>SUMIFS('Cash'!$C$5:$C$97,'Cash'!$A$5:$A$97,A303)</x:f>
        <x:v>0</x:v>
      </x:c>
      <x:c r="D303" s="22" t="n">
        <x:f>SUMIFS('Cash'!$C$5:$C$97,'Cash'!$A$5:$A$97,"&lt;="&amp;A303,'Cash'!$B$5:$B$97,"EXTERNAL_FUNDING")</x:f>
        <x:v>57285363</x:v>
      </x:c>
      <x:c r="E303" s="22" t="n">
        <x:f>SUMIFS('Cash'!$C$5:$C$97,'Cash'!$A$5:$A$97,"&lt;="&amp;A303,'Cash'!$B$5:$B$97,"DIVIDEND_NET")</x:f>
        <x:v>137750</x:v>
      </x:c>
      <x:c r="F303" s="30" t="str">
        <x:v>n.a.</x:v>
      </x:c>
      <x:c r="G303" s="30" t="str">
        <x:v>n.a.</x:v>
      </x:c>
      <x:c r="H303" s="30" t="str">
        <x:v>n.a.</x:v>
      </x:c>
      <x:c r="I303" s="30" t="str">
        <x:f>IF(COUNT(B303,F303:H303)=4,B303+F303+G303-H303,"n.a.")</x:f>
        <x:v>n.a.</x:v>
      </x:c>
      <x:c r="J303" s="30" t="str">
        <x:v>n.a.</x:v>
      </x:c>
      <x:c r="K303" s="17"/>
      <x:c r="L303" s="17"/>
      <x:c r="M303" s="17"/>
      <x:c r="N303" s="17"/>
    </x:row>
    <x:row r="304" ht="21" customHeight="1">
      <x:c r="A304" s="27" t="d">
        <x:v>2026-04-25T00:00:00.000Z</x:v>
      </x:c>
      <x:c r="B304" s="22" t="n">
        <x:f>SUMIFS('Cash'!$C$5:$C$97,'Cash'!$A$5:$A$97,"&lt;="&amp;A304)</x:f>
        <x:v>0</x:v>
      </x:c>
      <x:c r="C304" s="22" t="n">
        <x:f>SUMIFS('Cash'!$C$5:$C$97,'Cash'!$A$5:$A$97,A304)</x:f>
        <x:v>0</x:v>
      </x:c>
      <x:c r="D304" s="22" t="n">
        <x:f>SUMIFS('Cash'!$C$5:$C$97,'Cash'!$A$5:$A$97,"&lt;="&amp;A304,'Cash'!$B$5:$B$97,"EXTERNAL_FUNDING")</x:f>
        <x:v>57285363</x:v>
      </x:c>
      <x:c r="E304" s="22" t="n">
        <x:f>SUMIFS('Cash'!$C$5:$C$97,'Cash'!$A$5:$A$97,"&lt;="&amp;A304,'Cash'!$B$5:$B$97,"DIVIDEND_NET")</x:f>
        <x:v>137750</x:v>
      </x:c>
      <x:c r="F304" s="30" t="str">
        <x:v>n.a.</x:v>
      </x:c>
      <x:c r="G304" s="30" t="str">
        <x:v>n.a.</x:v>
      </x:c>
      <x:c r="H304" s="30" t="str">
        <x:v>n.a.</x:v>
      </x:c>
      <x:c r="I304" s="30" t="str">
        <x:f>IF(COUNT(B304,F304:H304)=4,B304+F304+G304-H304,"n.a.")</x:f>
        <x:v>n.a.</x:v>
      </x:c>
      <x:c r="J304" s="30" t="str">
        <x:v>n.a.</x:v>
      </x:c>
      <x:c r="K304" s="17"/>
      <x:c r="L304" s="17"/>
      <x:c r="M304" s="17"/>
      <x:c r="N304" s="17"/>
    </x:row>
    <x:row r="305" ht="21" customHeight="1">
      <x:c r="A305" s="27" t="d">
        <x:v>2026-04-26T00:00:00.000Z</x:v>
      </x:c>
      <x:c r="B305" s="22" t="n">
        <x:f>SUMIFS('Cash'!$C$5:$C$97,'Cash'!$A$5:$A$97,"&lt;="&amp;A305)</x:f>
        <x:v>0</x:v>
      </x:c>
      <x:c r="C305" s="22" t="n">
        <x:f>SUMIFS('Cash'!$C$5:$C$97,'Cash'!$A$5:$A$97,A305)</x:f>
        <x:v>0</x:v>
      </x:c>
      <x:c r="D305" s="22" t="n">
        <x:f>SUMIFS('Cash'!$C$5:$C$97,'Cash'!$A$5:$A$97,"&lt;="&amp;A305,'Cash'!$B$5:$B$97,"EXTERNAL_FUNDING")</x:f>
        <x:v>57285363</x:v>
      </x:c>
      <x:c r="E305" s="22" t="n">
        <x:f>SUMIFS('Cash'!$C$5:$C$97,'Cash'!$A$5:$A$97,"&lt;="&amp;A305,'Cash'!$B$5:$B$97,"DIVIDEND_NET")</x:f>
        <x:v>137750</x:v>
      </x:c>
      <x:c r="F305" s="30" t="str">
        <x:v>n.a.</x:v>
      </x:c>
      <x:c r="G305" s="30" t="str">
        <x:v>n.a.</x:v>
      </x:c>
      <x:c r="H305" s="30" t="str">
        <x:v>n.a.</x:v>
      </x:c>
      <x:c r="I305" s="30" t="str">
        <x:f>IF(COUNT(B305,F305:H305)=4,B305+F305+G305-H305,"n.a.")</x:f>
        <x:v>n.a.</x:v>
      </x:c>
      <x:c r="J305" s="30" t="str">
        <x:v>n.a.</x:v>
      </x:c>
      <x:c r="K305" s="17"/>
      <x:c r="L305" s="17"/>
      <x:c r="M305" s="17"/>
      <x:c r="N305" s="17"/>
    </x:row>
    <x:row r="306" ht="21" customHeight="1">
      <x:c r="A306" s="27" t="d">
        <x:v>2026-04-27T00:00:00.000Z</x:v>
      </x:c>
      <x:c r="B306" s="22" t="n">
        <x:f>SUMIFS('Cash'!$C$5:$C$97,'Cash'!$A$5:$A$97,"&lt;="&amp;A306)</x:f>
        <x:v>0</x:v>
      </x:c>
      <x:c r="C306" s="22" t="n">
        <x:f>SUMIFS('Cash'!$C$5:$C$97,'Cash'!$A$5:$A$97,A306)</x:f>
        <x:v>0</x:v>
      </x:c>
      <x:c r="D306" s="22" t="n">
        <x:f>SUMIFS('Cash'!$C$5:$C$97,'Cash'!$A$5:$A$97,"&lt;="&amp;A306,'Cash'!$B$5:$B$97,"EXTERNAL_FUNDING")</x:f>
        <x:v>57285363</x:v>
      </x:c>
      <x:c r="E306" s="22" t="n">
        <x:f>SUMIFS('Cash'!$C$5:$C$97,'Cash'!$A$5:$A$97,"&lt;="&amp;A306,'Cash'!$B$5:$B$97,"DIVIDEND_NET")</x:f>
        <x:v>137750</x:v>
      </x:c>
      <x:c r="F306" s="30" t="str">
        <x:v>n.a.</x:v>
      </x:c>
      <x:c r="G306" s="30" t="str">
        <x:v>n.a.</x:v>
      </x:c>
      <x:c r="H306" s="30" t="str">
        <x:v>n.a.</x:v>
      </x:c>
      <x:c r="I306" s="30" t="str">
        <x:f>IF(COUNT(B306,F306:H306)=4,B306+F306+G306-H306,"n.a.")</x:f>
        <x:v>n.a.</x:v>
      </x:c>
      <x:c r="J306" s="30" t="str">
        <x:v>n.a.</x:v>
      </x:c>
      <x:c r="K306" s="17"/>
      <x:c r="L306" s="17"/>
      <x:c r="M306" s="17"/>
      <x:c r="N306" s="17"/>
    </x:row>
    <x:row r="307" ht="21" customHeight="1">
      <x:c r="A307" s="27" t="d">
        <x:v>2026-04-28T00:00:00.000Z</x:v>
      </x:c>
      <x:c r="B307" s="22" t="n">
        <x:f>SUMIFS('Cash'!$C$5:$C$97,'Cash'!$A$5:$A$97,"&lt;="&amp;A307)</x:f>
        <x:v>0</x:v>
      </x:c>
      <x:c r="C307" s="22" t="n">
        <x:f>SUMIFS('Cash'!$C$5:$C$97,'Cash'!$A$5:$A$97,A307)</x:f>
        <x:v>0</x:v>
      </x:c>
      <x:c r="D307" s="22" t="n">
        <x:f>SUMIFS('Cash'!$C$5:$C$97,'Cash'!$A$5:$A$97,"&lt;="&amp;A307,'Cash'!$B$5:$B$97,"EXTERNAL_FUNDING")</x:f>
        <x:v>57285363</x:v>
      </x:c>
      <x:c r="E307" s="22" t="n">
        <x:f>SUMIFS('Cash'!$C$5:$C$97,'Cash'!$A$5:$A$97,"&lt;="&amp;A307,'Cash'!$B$5:$B$97,"DIVIDEND_NET")</x:f>
        <x:v>137750</x:v>
      </x:c>
      <x:c r="F307" s="30" t="str">
        <x:v>n.a.</x:v>
      </x:c>
      <x:c r="G307" s="30" t="str">
        <x:v>n.a.</x:v>
      </x:c>
      <x:c r="H307" s="30" t="str">
        <x:v>n.a.</x:v>
      </x:c>
      <x:c r="I307" s="30" t="str">
        <x:f>IF(COUNT(B307,F307:H307)=4,B307+F307+G307-H307,"n.a.")</x:f>
        <x:v>n.a.</x:v>
      </x:c>
      <x:c r="J307" s="30" t="str">
        <x:v>n.a.</x:v>
      </x:c>
      <x:c r="K307" s="17"/>
      <x:c r="L307" s="17"/>
      <x:c r="M307" s="17"/>
      <x:c r="N307" s="17"/>
    </x:row>
    <x:row r="308" ht="21" customHeight="1">
      <x:c r="A308" s="27" t="d">
        <x:v>2026-04-29T00:00:00.000Z</x:v>
      </x:c>
      <x:c r="B308" s="22" t="n">
        <x:f>SUMIFS('Cash'!$C$5:$C$97,'Cash'!$A$5:$A$97,"&lt;="&amp;A308)</x:f>
        <x:v>0</x:v>
      </x:c>
      <x:c r="C308" s="22" t="n">
        <x:f>SUMIFS('Cash'!$C$5:$C$97,'Cash'!$A$5:$A$97,A308)</x:f>
        <x:v>0</x:v>
      </x:c>
      <x:c r="D308" s="22" t="n">
        <x:f>SUMIFS('Cash'!$C$5:$C$97,'Cash'!$A$5:$A$97,"&lt;="&amp;A308,'Cash'!$B$5:$B$97,"EXTERNAL_FUNDING")</x:f>
        <x:v>57285363</x:v>
      </x:c>
      <x:c r="E308" s="22" t="n">
        <x:f>SUMIFS('Cash'!$C$5:$C$97,'Cash'!$A$5:$A$97,"&lt;="&amp;A308,'Cash'!$B$5:$B$97,"DIVIDEND_NET")</x:f>
        <x:v>137750</x:v>
      </x:c>
      <x:c r="F308" s="30" t="str">
        <x:v>n.a.</x:v>
      </x:c>
      <x:c r="G308" s="30" t="str">
        <x:v>n.a.</x:v>
      </x:c>
      <x:c r="H308" s="30" t="str">
        <x:v>n.a.</x:v>
      </x:c>
      <x:c r="I308" s="30" t="str">
        <x:f>IF(COUNT(B308,F308:H308)=4,B308+F308+G308-H308,"n.a.")</x:f>
        <x:v>n.a.</x:v>
      </x:c>
      <x:c r="J308" s="30" t="str">
        <x:v>n.a.</x:v>
      </x:c>
      <x:c r="K308" s="17"/>
      <x:c r="L308" s="17"/>
      <x:c r="M308" s="17"/>
      <x:c r="N308" s="17"/>
    </x:row>
    <x:row r="309" ht="21" customHeight="1">
      <x:c r="A309" s="27" t="d">
        <x:v>2026-04-30T00:00:00.000Z</x:v>
      </x:c>
      <x:c r="B309" s="22" t="n">
        <x:f>SUMIFS('Cash'!$C$5:$C$97,'Cash'!$A$5:$A$97,"&lt;="&amp;A309)</x:f>
        <x:v>0</x:v>
      </x:c>
      <x:c r="C309" s="22" t="n">
        <x:f>SUMIFS('Cash'!$C$5:$C$97,'Cash'!$A$5:$A$97,A309)</x:f>
        <x:v>0</x:v>
      </x:c>
      <x:c r="D309" s="22" t="n">
        <x:f>SUMIFS('Cash'!$C$5:$C$97,'Cash'!$A$5:$A$97,"&lt;="&amp;A309,'Cash'!$B$5:$B$97,"EXTERNAL_FUNDING")</x:f>
        <x:v>57285363</x:v>
      </x:c>
      <x:c r="E309" s="22" t="n">
        <x:f>SUMIFS('Cash'!$C$5:$C$97,'Cash'!$A$5:$A$97,"&lt;="&amp;A309,'Cash'!$B$5:$B$97,"DIVIDEND_NET")</x:f>
        <x:v>137750</x:v>
      </x:c>
      <x:c r="F309" s="30" t="str">
        <x:v>n.a.</x:v>
      </x:c>
      <x:c r="G309" s="30" t="str">
        <x:v>n.a.</x:v>
      </x:c>
      <x:c r="H309" s="30" t="str">
        <x:v>n.a.</x:v>
      </x:c>
      <x:c r="I309" s="30" t="str">
        <x:f>IF(COUNT(B309,F309:H309)=4,B309+F309+G309-H309,"n.a.")</x:f>
        <x:v>n.a.</x:v>
      </x:c>
      <x:c r="J309" s="30" t="str">
        <x:v>n.a.</x:v>
      </x:c>
      <x:c r="K309" s="17"/>
      <x:c r="L309" s="17"/>
      <x:c r="M309" s="17"/>
      <x:c r="N309" s="17"/>
    </x:row>
    <x:row r="310" ht="21" customHeight="1">
      <x:c r="A310" s="27" t="d">
        <x:v>2026-05-01T00:00:00.000Z</x:v>
      </x:c>
      <x:c r="B310" s="22" t="n">
        <x:f>SUMIFS('Cash'!$C$5:$C$97,'Cash'!$A$5:$A$97,"&lt;="&amp;A310)</x:f>
        <x:v>0</x:v>
      </x:c>
      <x:c r="C310" s="22" t="n">
        <x:f>SUMIFS('Cash'!$C$5:$C$97,'Cash'!$A$5:$A$97,A310)</x:f>
        <x:v>0</x:v>
      </x:c>
      <x:c r="D310" s="22" t="n">
        <x:f>SUMIFS('Cash'!$C$5:$C$97,'Cash'!$A$5:$A$97,"&lt;="&amp;A310,'Cash'!$B$5:$B$97,"EXTERNAL_FUNDING")</x:f>
        <x:v>57285363</x:v>
      </x:c>
      <x:c r="E310" s="22" t="n">
        <x:f>SUMIFS('Cash'!$C$5:$C$97,'Cash'!$A$5:$A$97,"&lt;="&amp;A310,'Cash'!$B$5:$B$97,"DIVIDEND_NET")</x:f>
        <x:v>137750</x:v>
      </x:c>
      <x:c r="F310" s="30" t="str">
        <x:v>n.a.</x:v>
      </x:c>
      <x:c r="G310" s="30" t="str">
        <x:v>n.a.</x:v>
      </x:c>
      <x:c r="H310" s="30" t="str">
        <x:v>n.a.</x:v>
      </x:c>
      <x:c r="I310" s="30" t="str">
        <x:f>IF(COUNT(B310,F310:H310)=4,B310+F310+G310-H310,"n.a.")</x:f>
        <x:v>n.a.</x:v>
      </x:c>
      <x:c r="J310" s="30" t="str">
        <x:v>n.a.</x:v>
      </x:c>
      <x:c r="K310" s="17"/>
      <x:c r="L310" s="17"/>
      <x:c r="M310" s="17"/>
      <x:c r="N310" s="17"/>
    </x:row>
    <x:row r="311" ht="21" customHeight="1">
      <x:c r="A311" s="27" t="d">
        <x:v>2026-05-02T00:00:00.000Z</x:v>
      </x:c>
      <x:c r="B311" s="22" t="n">
        <x:f>SUMIFS('Cash'!$C$5:$C$97,'Cash'!$A$5:$A$97,"&lt;="&amp;A311)</x:f>
        <x:v>0</x:v>
      </x:c>
      <x:c r="C311" s="22" t="n">
        <x:f>SUMIFS('Cash'!$C$5:$C$97,'Cash'!$A$5:$A$97,A311)</x:f>
        <x:v>0</x:v>
      </x:c>
      <x:c r="D311" s="22" t="n">
        <x:f>SUMIFS('Cash'!$C$5:$C$97,'Cash'!$A$5:$A$97,"&lt;="&amp;A311,'Cash'!$B$5:$B$97,"EXTERNAL_FUNDING")</x:f>
        <x:v>57285363</x:v>
      </x:c>
      <x:c r="E311" s="22" t="n">
        <x:f>SUMIFS('Cash'!$C$5:$C$97,'Cash'!$A$5:$A$97,"&lt;="&amp;A311,'Cash'!$B$5:$B$97,"DIVIDEND_NET")</x:f>
        <x:v>137750</x:v>
      </x:c>
      <x:c r="F311" s="30" t="str">
        <x:v>n.a.</x:v>
      </x:c>
      <x:c r="G311" s="30" t="str">
        <x:v>n.a.</x:v>
      </x:c>
      <x:c r="H311" s="30" t="str">
        <x:v>n.a.</x:v>
      </x:c>
      <x:c r="I311" s="30" t="str">
        <x:f>IF(COUNT(B311,F311:H311)=4,B311+F311+G311-H311,"n.a.")</x:f>
        <x:v>n.a.</x:v>
      </x:c>
      <x:c r="J311" s="30" t="str">
        <x:v>n.a.</x:v>
      </x:c>
      <x:c r="K311" s="17"/>
      <x:c r="L311" s="17"/>
      <x:c r="M311" s="17"/>
      <x:c r="N311" s="17"/>
    </x:row>
    <x:row r="312" ht="21" customHeight="1">
      <x:c r="A312" s="27" t="d">
        <x:v>2026-05-03T00:00:00.000Z</x:v>
      </x:c>
      <x:c r="B312" s="22" t="n">
        <x:f>SUMIFS('Cash'!$C$5:$C$97,'Cash'!$A$5:$A$97,"&lt;="&amp;A312)</x:f>
        <x:v>0</x:v>
      </x:c>
      <x:c r="C312" s="22" t="n">
        <x:f>SUMIFS('Cash'!$C$5:$C$97,'Cash'!$A$5:$A$97,A312)</x:f>
        <x:v>0</x:v>
      </x:c>
      <x:c r="D312" s="22" t="n">
        <x:f>SUMIFS('Cash'!$C$5:$C$97,'Cash'!$A$5:$A$97,"&lt;="&amp;A312,'Cash'!$B$5:$B$97,"EXTERNAL_FUNDING")</x:f>
        <x:v>57285363</x:v>
      </x:c>
      <x:c r="E312" s="22" t="n">
        <x:f>SUMIFS('Cash'!$C$5:$C$97,'Cash'!$A$5:$A$97,"&lt;="&amp;A312,'Cash'!$B$5:$B$97,"DIVIDEND_NET")</x:f>
        <x:v>137750</x:v>
      </x:c>
      <x:c r="F312" s="30" t="str">
        <x:v>n.a.</x:v>
      </x:c>
      <x:c r="G312" s="30" t="str">
        <x:v>n.a.</x:v>
      </x:c>
      <x:c r="H312" s="30" t="str">
        <x:v>n.a.</x:v>
      </x:c>
      <x:c r="I312" s="30" t="str">
        <x:f>IF(COUNT(B312,F312:H312)=4,B312+F312+G312-H312,"n.a.")</x:f>
        <x:v>n.a.</x:v>
      </x:c>
      <x:c r="J312" s="30" t="str">
        <x:v>n.a.</x:v>
      </x:c>
      <x:c r="K312" s="17"/>
      <x:c r="L312" s="17"/>
      <x:c r="M312" s="17"/>
      <x:c r="N312" s="17"/>
    </x:row>
    <x:row r="313" ht="21" customHeight="1">
      <x:c r="A313" s="27" t="d">
        <x:v>2026-05-04T00:00:00.000Z</x:v>
      </x:c>
      <x:c r="B313" s="22" t="n">
        <x:f>SUMIFS('Cash'!$C$5:$C$97,'Cash'!$A$5:$A$97,"&lt;="&amp;A313)</x:f>
        <x:v>30</x:v>
      </x:c>
      <x:c r="C313" s="22" t="n">
        <x:f>SUMIFS('Cash'!$C$5:$C$97,'Cash'!$A$5:$A$97,A313)</x:f>
        <x:v>30</x:v>
      </x:c>
      <x:c r="D313" s="22" t="n">
        <x:f>SUMIFS('Cash'!$C$5:$C$97,'Cash'!$A$5:$A$97,"&lt;="&amp;A313,'Cash'!$B$5:$B$97,"EXTERNAL_FUNDING")</x:f>
        <x:v>57285959</x:v>
      </x:c>
      <x:c r="E313" s="22" t="n">
        <x:f>SUMIFS('Cash'!$C$5:$C$97,'Cash'!$A$5:$A$97,"&lt;="&amp;A313,'Cash'!$B$5:$B$97,"DIVIDEND_NET")</x:f>
        <x:v>137750</x:v>
      </x:c>
      <x:c r="F313" s="30" t="str">
        <x:v>n.a.</x:v>
      </x:c>
      <x:c r="G313" s="30" t="str">
        <x:v>n.a.</x:v>
      </x:c>
      <x:c r="H313" s="30" t="str">
        <x:v>n.a.</x:v>
      </x:c>
      <x:c r="I313" s="30" t="str">
        <x:f>IF(COUNT(B313,F313:H313)=4,B313+F313+G313-H313,"n.a.")</x:f>
        <x:v>n.a.</x:v>
      </x:c>
      <x:c r="J313" s="30" t="str">
        <x:v>n.a.</x:v>
      </x:c>
      <x:c r="K313" s="17"/>
      <x:c r="L313" s="17"/>
      <x:c r="M313" s="17"/>
      <x:c r="N313" s="17"/>
    </x:row>
    <x:row r="314" ht="21" customHeight="1">
      <x:c r="A314" s="27" t="d">
        <x:v>2026-05-05T00:00:00.000Z</x:v>
      </x:c>
      <x:c r="B314" s="22" t="n">
        <x:f>SUMIFS('Cash'!$C$5:$C$97,'Cash'!$A$5:$A$97,"&lt;="&amp;A314)</x:f>
        <x:v>30</x:v>
      </x:c>
      <x:c r="C314" s="22" t="n">
        <x:f>SUMIFS('Cash'!$C$5:$C$97,'Cash'!$A$5:$A$97,A314)</x:f>
        <x:v>0</x:v>
      </x:c>
      <x:c r="D314" s="22" t="n">
        <x:f>SUMIFS('Cash'!$C$5:$C$97,'Cash'!$A$5:$A$97,"&lt;="&amp;A314,'Cash'!$B$5:$B$97,"EXTERNAL_FUNDING")</x:f>
        <x:v>57285959</x:v>
      </x:c>
      <x:c r="E314" s="22" t="n">
        <x:f>SUMIFS('Cash'!$C$5:$C$97,'Cash'!$A$5:$A$97,"&lt;="&amp;A314,'Cash'!$B$5:$B$97,"DIVIDEND_NET")</x:f>
        <x:v>137750</x:v>
      </x:c>
      <x:c r="F314" s="30" t="str">
        <x:v>n.a.</x:v>
      </x:c>
      <x:c r="G314" s="30" t="str">
        <x:v>n.a.</x:v>
      </x:c>
      <x:c r="H314" s="30" t="str">
        <x:v>n.a.</x:v>
      </x:c>
      <x:c r="I314" s="30" t="str">
        <x:f>IF(COUNT(B314,F314:H314)=4,B314+F314+G314-H314,"n.a.")</x:f>
        <x:v>n.a.</x:v>
      </x:c>
      <x:c r="J314" s="30" t="str">
        <x:v>n.a.</x:v>
      </x:c>
      <x:c r="K314" s="17"/>
      <x:c r="L314" s="17"/>
      <x:c r="M314" s="17"/>
      <x:c r="N314" s="17"/>
    </x:row>
    <x:row r="315" ht="21" customHeight="1">
      <x:c r="A315" s="27" t="d">
        <x:v>2026-05-06T00:00:00.000Z</x:v>
      </x:c>
      <x:c r="B315" s="22" t="n">
        <x:f>SUMIFS('Cash'!$C$5:$C$97,'Cash'!$A$5:$A$97,"&lt;="&amp;A315)</x:f>
        <x:v>30</x:v>
      </x:c>
      <x:c r="C315" s="22" t="n">
        <x:f>SUMIFS('Cash'!$C$5:$C$97,'Cash'!$A$5:$A$97,A315)</x:f>
        <x:v>0</x:v>
      </x:c>
      <x:c r="D315" s="22" t="n">
        <x:f>SUMIFS('Cash'!$C$5:$C$97,'Cash'!$A$5:$A$97,"&lt;="&amp;A315,'Cash'!$B$5:$B$97,"EXTERNAL_FUNDING")</x:f>
        <x:v>57285959</x:v>
      </x:c>
      <x:c r="E315" s="22" t="n">
        <x:f>SUMIFS('Cash'!$C$5:$C$97,'Cash'!$A$5:$A$97,"&lt;="&amp;A315,'Cash'!$B$5:$B$97,"DIVIDEND_NET")</x:f>
        <x:v>137750</x:v>
      </x:c>
      <x:c r="F315" s="30" t="str">
        <x:v>n.a.</x:v>
      </x:c>
      <x:c r="G315" s="30" t="str">
        <x:v>n.a.</x:v>
      </x:c>
      <x:c r="H315" s="30" t="str">
        <x:v>n.a.</x:v>
      </x:c>
      <x:c r="I315" s="30" t="str">
        <x:f>IF(COUNT(B315,F315:H315)=4,B315+F315+G315-H315,"n.a.")</x:f>
        <x:v>n.a.</x:v>
      </x:c>
      <x:c r="J315" s="30" t="str">
        <x:v>n.a.</x:v>
      </x:c>
      <x:c r="K315" s="17"/>
      <x:c r="L315" s="17"/>
      <x:c r="M315" s="17"/>
      <x:c r="N315" s="17"/>
    </x:row>
    <x:row r="316" ht="21" customHeight="1">
      <x:c r="A316" s="27" t="d">
        <x:v>2026-05-07T00:00:00.000Z</x:v>
      </x:c>
      <x:c r="B316" s="22" t="n">
        <x:f>SUMIFS('Cash'!$C$5:$C$97,'Cash'!$A$5:$A$97,"&lt;="&amp;A316)</x:f>
        <x:v>30</x:v>
      </x:c>
      <x:c r="C316" s="22" t="n">
        <x:f>SUMIFS('Cash'!$C$5:$C$97,'Cash'!$A$5:$A$97,A316)</x:f>
        <x:v>0</x:v>
      </x:c>
      <x:c r="D316" s="22" t="n">
        <x:f>SUMIFS('Cash'!$C$5:$C$97,'Cash'!$A$5:$A$97,"&lt;="&amp;A316,'Cash'!$B$5:$B$97,"EXTERNAL_FUNDING")</x:f>
        <x:v>57285959</x:v>
      </x:c>
      <x:c r="E316" s="22" t="n">
        <x:f>SUMIFS('Cash'!$C$5:$C$97,'Cash'!$A$5:$A$97,"&lt;="&amp;A316,'Cash'!$B$5:$B$97,"DIVIDEND_NET")</x:f>
        <x:v>137750</x:v>
      </x:c>
      <x:c r="F316" s="30" t="str">
        <x:v>n.a.</x:v>
      </x:c>
      <x:c r="G316" s="30" t="str">
        <x:v>n.a.</x:v>
      </x:c>
      <x:c r="H316" s="30" t="str">
        <x:v>n.a.</x:v>
      </x:c>
      <x:c r="I316" s="30" t="str">
        <x:f>IF(COUNT(B316,F316:H316)=4,B316+F316+G316-H316,"n.a.")</x:f>
        <x:v>n.a.</x:v>
      </x:c>
      <x:c r="J316" s="30" t="str">
        <x:v>n.a.</x:v>
      </x:c>
      <x:c r="K316" s="17"/>
      <x:c r="L316" s="17"/>
      <x:c r="M316" s="17"/>
      <x:c r="N316" s="17"/>
    </x:row>
    <x:row r="317" ht="21" customHeight="1">
      <x:c r="A317" s="27" t="d">
        <x:v>2026-05-08T00:00:00.000Z</x:v>
      </x:c>
      <x:c r="B317" s="22" t="n">
        <x:f>SUMIFS('Cash'!$C$5:$C$97,'Cash'!$A$5:$A$97,"&lt;="&amp;A317)</x:f>
        <x:v>30</x:v>
      </x:c>
      <x:c r="C317" s="22" t="n">
        <x:f>SUMIFS('Cash'!$C$5:$C$97,'Cash'!$A$5:$A$97,A317)</x:f>
        <x:v>0</x:v>
      </x:c>
      <x:c r="D317" s="22" t="n">
        <x:f>SUMIFS('Cash'!$C$5:$C$97,'Cash'!$A$5:$A$97,"&lt;="&amp;A317,'Cash'!$B$5:$B$97,"EXTERNAL_FUNDING")</x:f>
        <x:v>57285959</x:v>
      </x:c>
      <x:c r="E317" s="22" t="n">
        <x:f>SUMIFS('Cash'!$C$5:$C$97,'Cash'!$A$5:$A$97,"&lt;="&amp;A317,'Cash'!$B$5:$B$97,"DIVIDEND_NET")</x:f>
        <x:v>137750</x:v>
      </x:c>
      <x:c r="F317" s="30" t="str">
        <x:v>n.a.</x:v>
      </x:c>
      <x:c r="G317" s="30" t="str">
        <x:v>n.a.</x:v>
      </x:c>
      <x:c r="H317" s="30" t="str">
        <x:v>n.a.</x:v>
      </x:c>
      <x:c r="I317" s="30" t="str">
        <x:f>IF(COUNT(B317,F317:H317)=4,B317+F317+G317-H317,"n.a.")</x:f>
        <x:v>n.a.</x:v>
      </x:c>
      <x:c r="J317" s="30" t="str">
        <x:v>n.a.</x:v>
      </x:c>
      <x:c r="K317" s="17"/>
      <x:c r="L317" s="17"/>
      <x:c r="M317" s="17"/>
      <x:c r="N317" s="17"/>
    </x:row>
    <x:row r="318" ht="21" customHeight="1">
      <x:c r="A318" s="27" t="d">
        <x:v>2026-05-09T00:00:00.000Z</x:v>
      </x:c>
      <x:c r="B318" s="22" t="n">
        <x:f>SUMIFS('Cash'!$C$5:$C$97,'Cash'!$A$5:$A$97,"&lt;="&amp;A318)</x:f>
        <x:v>30</x:v>
      </x:c>
      <x:c r="C318" s="22" t="n">
        <x:f>SUMIFS('Cash'!$C$5:$C$97,'Cash'!$A$5:$A$97,A318)</x:f>
        <x:v>0</x:v>
      </x:c>
      <x:c r="D318" s="22" t="n">
        <x:f>SUMIFS('Cash'!$C$5:$C$97,'Cash'!$A$5:$A$97,"&lt;="&amp;A318,'Cash'!$B$5:$B$97,"EXTERNAL_FUNDING")</x:f>
        <x:v>57285959</x:v>
      </x:c>
      <x:c r="E318" s="22" t="n">
        <x:f>SUMIFS('Cash'!$C$5:$C$97,'Cash'!$A$5:$A$97,"&lt;="&amp;A318,'Cash'!$B$5:$B$97,"DIVIDEND_NET")</x:f>
        <x:v>137750</x:v>
      </x:c>
      <x:c r="F318" s="30" t="str">
        <x:v>n.a.</x:v>
      </x:c>
      <x:c r="G318" s="30" t="str">
        <x:v>n.a.</x:v>
      </x:c>
      <x:c r="H318" s="30" t="str">
        <x:v>n.a.</x:v>
      </x:c>
      <x:c r="I318" s="30" t="str">
        <x:f>IF(COUNT(B318,F318:H318)=4,B318+F318+G318-H318,"n.a.")</x:f>
        <x:v>n.a.</x:v>
      </x:c>
      <x:c r="J318" s="30" t="str">
        <x:v>n.a.</x:v>
      </x:c>
      <x:c r="K318" s="17"/>
      <x:c r="L318" s="17"/>
      <x:c r="M318" s="17"/>
      <x:c r="N318" s="17"/>
    </x:row>
    <x:row r="319" ht="21" customHeight="1">
      <x:c r="A319" s="27" t="d">
        <x:v>2026-05-10T00:00:00.000Z</x:v>
      </x:c>
      <x:c r="B319" s="22" t="n">
        <x:f>SUMIFS('Cash'!$C$5:$C$97,'Cash'!$A$5:$A$97,"&lt;="&amp;A319)</x:f>
        <x:v>30</x:v>
      </x:c>
      <x:c r="C319" s="22" t="n">
        <x:f>SUMIFS('Cash'!$C$5:$C$97,'Cash'!$A$5:$A$97,A319)</x:f>
        <x:v>0</x:v>
      </x:c>
      <x:c r="D319" s="22" t="n">
        <x:f>SUMIFS('Cash'!$C$5:$C$97,'Cash'!$A$5:$A$97,"&lt;="&amp;A319,'Cash'!$B$5:$B$97,"EXTERNAL_FUNDING")</x:f>
        <x:v>57285959</x:v>
      </x:c>
      <x:c r="E319" s="22" t="n">
        <x:f>SUMIFS('Cash'!$C$5:$C$97,'Cash'!$A$5:$A$97,"&lt;="&amp;A319,'Cash'!$B$5:$B$97,"DIVIDEND_NET")</x:f>
        <x:v>137750</x:v>
      </x:c>
      <x:c r="F319" s="30" t="str">
        <x:v>n.a.</x:v>
      </x:c>
      <x:c r="G319" s="30" t="str">
        <x:v>n.a.</x:v>
      </x:c>
      <x:c r="H319" s="30" t="str">
        <x:v>n.a.</x:v>
      </x:c>
      <x:c r="I319" s="30" t="str">
        <x:f>IF(COUNT(B319,F319:H319)=4,B319+F319+G319-H319,"n.a.")</x:f>
        <x:v>n.a.</x:v>
      </x:c>
      <x:c r="J319" s="30" t="str">
        <x:v>n.a.</x:v>
      </x:c>
      <x:c r="K319" s="17"/>
      <x:c r="L319" s="17"/>
      <x:c r="M319" s="17"/>
      <x:c r="N319" s="17"/>
    </x:row>
    <x:row r="320" ht="21" customHeight="1">
      <x:c r="A320" s="27" t="d">
        <x:v>2026-05-11T00:00:00.000Z</x:v>
      </x:c>
      <x:c r="B320" s="22" t="n">
        <x:f>SUMIFS('Cash'!$C$5:$C$97,'Cash'!$A$5:$A$97,"&lt;="&amp;A320)</x:f>
        <x:v>30</x:v>
      </x:c>
      <x:c r="C320" s="22" t="n">
        <x:f>SUMIFS('Cash'!$C$5:$C$97,'Cash'!$A$5:$A$97,A320)</x:f>
        <x:v>0</x:v>
      </x:c>
      <x:c r="D320" s="22" t="n">
        <x:f>SUMIFS('Cash'!$C$5:$C$97,'Cash'!$A$5:$A$97,"&lt;="&amp;A320,'Cash'!$B$5:$B$97,"EXTERNAL_FUNDING")</x:f>
        <x:v>57285959</x:v>
      </x:c>
      <x:c r="E320" s="22" t="n">
        <x:f>SUMIFS('Cash'!$C$5:$C$97,'Cash'!$A$5:$A$97,"&lt;="&amp;A320,'Cash'!$B$5:$B$97,"DIVIDEND_NET")</x:f>
        <x:v>137750</x:v>
      </x:c>
      <x:c r="F320" s="30" t="str">
        <x:v>n.a.</x:v>
      </x:c>
      <x:c r="G320" s="30" t="str">
        <x:v>n.a.</x:v>
      </x:c>
      <x:c r="H320" s="30" t="str">
        <x:v>n.a.</x:v>
      </x:c>
      <x:c r="I320" s="30" t="str">
        <x:f>IF(COUNT(B320,F320:H320)=4,B320+F320+G320-H320,"n.a.")</x:f>
        <x:v>n.a.</x:v>
      </x:c>
      <x:c r="J320" s="30" t="str">
        <x:v>n.a.</x:v>
      </x:c>
      <x:c r="K320" s="17"/>
      <x:c r="L320" s="17"/>
      <x:c r="M320" s="17"/>
      <x:c r="N320" s="17"/>
    </x:row>
    <x:row r="321" ht="21" customHeight="1">
      <x:c r="A321" s="27" t="d">
        <x:v>2026-05-12T00:00:00.000Z</x:v>
      </x:c>
      <x:c r="B321" s="22" t="n">
        <x:f>SUMIFS('Cash'!$C$5:$C$97,'Cash'!$A$5:$A$97,"&lt;="&amp;A321)</x:f>
        <x:v>30</x:v>
      </x:c>
      <x:c r="C321" s="22" t="n">
        <x:f>SUMIFS('Cash'!$C$5:$C$97,'Cash'!$A$5:$A$97,A321)</x:f>
        <x:v>0</x:v>
      </x:c>
      <x:c r="D321" s="22" t="n">
        <x:f>SUMIFS('Cash'!$C$5:$C$97,'Cash'!$A$5:$A$97,"&lt;="&amp;A321,'Cash'!$B$5:$B$97,"EXTERNAL_FUNDING")</x:f>
        <x:v>57285959</x:v>
      </x:c>
      <x:c r="E321" s="22" t="n">
        <x:f>SUMIFS('Cash'!$C$5:$C$97,'Cash'!$A$5:$A$97,"&lt;="&amp;A321,'Cash'!$B$5:$B$97,"DIVIDEND_NET")</x:f>
        <x:v>137750</x:v>
      </x:c>
      <x:c r="F321" s="30" t="str">
        <x:v>n.a.</x:v>
      </x:c>
      <x:c r="G321" s="30" t="str">
        <x:v>n.a.</x:v>
      </x:c>
      <x:c r="H321" s="30" t="str">
        <x:v>n.a.</x:v>
      </x:c>
      <x:c r="I321" s="30" t="str">
        <x:f>IF(COUNT(B321,F321:H321)=4,B321+F321+G321-H321,"n.a.")</x:f>
        <x:v>n.a.</x:v>
      </x:c>
      <x:c r="J321" s="30" t="str">
        <x:v>n.a.</x:v>
      </x:c>
      <x:c r="K321" s="17"/>
      <x:c r="L321" s="17"/>
      <x:c r="M321" s="17"/>
      <x:c r="N321" s="17"/>
    </x:row>
    <x:row r="322" ht="21" customHeight="1">
      <x:c r="A322" s="27" t="d">
        <x:v>2026-05-13T00:00:00.000Z</x:v>
      </x:c>
      <x:c r="B322" s="22" t="n">
        <x:f>SUMIFS('Cash'!$C$5:$C$97,'Cash'!$A$5:$A$97,"&lt;="&amp;A322)</x:f>
        <x:v>30</x:v>
      </x:c>
      <x:c r="C322" s="22" t="n">
        <x:f>SUMIFS('Cash'!$C$5:$C$97,'Cash'!$A$5:$A$97,A322)</x:f>
        <x:v>0</x:v>
      </x:c>
      <x:c r="D322" s="22" t="n">
        <x:f>SUMIFS('Cash'!$C$5:$C$97,'Cash'!$A$5:$A$97,"&lt;="&amp;A322,'Cash'!$B$5:$B$97,"EXTERNAL_FUNDING")</x:f>
        <x:v>57285959</x:v>
      </x:c>
      <x:c r="E322" s="22" t="n">
        <x:f>SUMIFS('Cash'!$C$5:$C$97,'Cash'!$A$5:$A$97,"&lt;="&amp;A322,'Cash'!$B$5:$B$97,"DIVIDEND_NET")</x:f>
        <x:v>137750</x:v>
      </x:c>
      <x:c r="F322" s="30" t="str">
        <x:v>n.a.</x:v>
      </x:c>
      <x:c r="G322" s="30" t="str">
        <x:v>n.a.</x:v>
      </x:c>
      <x:c r="H322" s="30" t="str">
        <x:v>n.a.</x:v>
      </x:c>
      <x:c r="I322" s="30" t="str">
        <x:f>IF(COUNT(B322,F322:H322)=4,B322+F322+G322-H322,"n.a.")</x:f>
        <x:v>n.a.</x:v>
      </x:c>
      <x:c r="J322" s="30" t="str">
        <x:v>n.a.</x:v>
      </x:c>
      <x:c r="K322" s="17"/>
      <x:c r="L322" s="17"/>
      <x:c r="M322" s="17"/>
      <x:c r="N322" s="17"/>
    </x:row>
    <x:row r="323" ht="21" customHeight="1">
      <x:c r="A323" s="27" t="d">
        <x:v>2026-05-14T00:00:00.000Z</x:v>
      </x:c>
      <x:c r="B323" s="22" t="n">
        <x:f>SUMIFS('Cash'!$C$5:$C$97,'Cash'!$A$5:$A$97,"&lt;="&amp;A323)</x:f>
        <x:v>30</x:v>
      </x:c>
      <x:c r="C323" s="22" t="n">
        <x:f>SUMIFS('Cash'!$C$5:$C$97,'Cash'!$A$5:$A$97,A323)</x:f>
        <x:v>0</x:v>
      </x:c>
      <x:c r="D323" s="22" t="n">
        <x:f>SUMIFS('Cash'!$C$5:$C$97,'Cash'!$A$5:$A$97,"&lt;="&amp;A323,'Cash'!$B$5:$B$97,"EXTERNAL_FUNDING")</x:f>
        <x:v>57285959</x:v>
      </x:c>
      <x:c r="E323" s="22" t="n">
        <x:f>SUMIFS('Cash'!$C$5:$C$97,'Cash'!$A$5:$A$97,"&lt;="&amp;A323,'Cash'!$B$5:$B$97,"DIVIDEND_NET")</x:f>
        <x:v>137750</x:v>
      </x:c>
      <x:c r="F323" s="30" t="str">
        <x:v>n.a.</x:v>
      </x:c>
      <x:c r="G323" s="30" t="str">
        <x:v>n.a.</x:v>
      </x:c>
      <x:c r="H323" s="30" t="str">
        <x:v>n.a.</x:v>
      </x:c>
      <x:c r="I323" s="30" t="str">
        <x:f>IF(COUNT(B323,F323:H323)=4,B323+F323+G323-H323,"n.a.")</x:f>
        <x:v>n.a.</x:v>
      </x:c>
      <x:c r="J323" s="30" t="str">
        <x:v>n.a.</x:v>
      </x:c>
      <x:c r="K323" s="17"/>
      <x:c r="L323" s="17"/>
      <x:c r="M323" s="17"/>
      <x:c r="N323" s="17"/>
    </x:row>
    <x:row r="324" ht="21" customHeight="1">
      <x:c r="A324" s="27" t="d">
        <x:v>2026-05-15T00:00:00.000Z</x:v>
      </x:c>
      <x:c r="B324" s="22" t="n">
        <x:f>SUMIFS('Cash'!$C$5:$C$97,'Cash'!$A$5:$A$97,"&lt;="&amp;A324)</x:f>
        <x:v>30</x:v>
      </x:c>
      <x:c r="C324" s="22" t="n">
        <x:f>SUMIFS('Cash'!$C$5:$C$97,'Cash'!$A$5:$A$97,A324)</x:f>
        <x:v>0</x:v>
      </x:c>
      <x:c r="D324" s="22" t="n">
        <x:f>SUMIFS('Cash'!$C$5:$C$97,'Cash'!$A$5:$A$97,"&lt;="&amp;A324,'Cash'!$B$5:$B$97,"EXTERNAL_FUNDING")</x:f>
        <x:v>57285959</x:v>
      </x:c>
      <x:c r="E324" s="22" t="n">
        <x:f>SUMIFS('Cash'!$C$5:$C$97,'Cash'!$A$5:$A$97,"&lt;="&amp;A324,'Cash'!$B$5:$B$97,"DIVIDEND_NET")</x:f>
        <x:v>137750</x:v>
      </x:c>
      <x:c r="F324" s="30" t="str">
        <x:v>n.a.</x:v>
      </x:c>
      <x:c r="G324" s="30" t="str">
        <x:v>n.a.</x:v>
      </x:c>
      <x:c r="H324" s="30" t="str">
        <x:v>n.a.</x:v>
      </x:c>
      <x:c r="I324" s="30" t="str">
        <x:f>IF(COUNT(B324,F324:H324)=4,B324+F324+G324-H324,"n.a.")</x:f>
        <x:v>n.a.</x:v>
      </x:c>
      <x:c r="J324" s="30" t="str">
        <x:v>n.a.</x:v>
      </x:c>
      <x:c r="K324" s="17"/>
      <x:c r="L324" s="17"/>
      <x:c r="M324" s="17"/>
      <x:c r="N324" s="17"/>
    </x:row>
    <x:row r="325" ht="21" customHeight="1">
      <x:c r="A325" s="27" t="d">
        <x:v>2026-05-16T00:00:00.000Z</x:v>
      </x:c>
      <x:c r="B325" s="22" t="n">
        <x:f>SUMIFS('Cash'!$C$5:$C$97,'Cash'!$A$5:$A$97,"&lt;="&amp;A325)</x:f>
        <x:v>30</x:v>
      </x:c>
      <x:c r="C325" s="22" t="n">
        <x:f>SUMIFS('Cash'!$C$5:$C$97,'Cash'!$A$5:$A$97,A325)</x:f>
        <x:v>0</x:v>
      </x:c>
      <x:c r="D325" s="22" t="n">
        <x:f>SUMIFS('Cash'!$C$5:$C$97,'Cash'!$A$5:$A$97,"&lt;="&amp;A325,'Cash'!$B$5:$B$97,"EXTERNAL_FUNDING")</x:f>
        <x:v>57285959</x:v>
      </x:c>
      <x:c r="E325" s="22" t="n">
        <x:f>SUMIFS('Cash'!$C$5:$C$97,'Cash'!$A$5:$A$97,"&lt;="&amp;A325,'Cash'!$B$5:$B$97,"DIVIDEND_NET")</x:f>
        <x:v>137750</x:v>
      </x:c>
      <x:c r="F325" s="30" t="str">
        <x:v>n.a.</x:v>
      </x:c>
      <x:c r="G325" s="30" t="str">
        <x:v>n.a.</x:v>
      </x:c>
      <x:c r="H325" s="30" t="str">
        <x:v>n.a.</x:v>
      </x:c>
      <x:c r="I325" s="30" t="str">
        <x:f>IF(COUNT(B325,F325:H325)=4,B325+F325+G325-H325,"n.a.")</x:f>
        <x:v>n.a.</x:v>
      </x:c>
      <x:c r="J325" s="30" t="str">
        <x:v>n.a.</x:v>
      </x:c>
      <x:c r="K325" s="17"/>
      <x:c r="L325" s="17"/>
      <x:c r="M325" s="17"/>
      <x:c r="N325" s="17"/>
    </x:row>
    <x:row r="326" ht="21" customHeight="1">
      <x:c r="A326" s="27" t="d">
        <x:v>2026-05-17T00:00:00.000Z</x:v>
      </x:c>
      <x:c r="B326" s="22" t="n">
        <x:f>SUMIFS('Cash'!$C$5:$C$97,'Cash'!$A$5:$A$97,"&lt;="&amp;A326)</x:f>
        <x:v>30</x:v>
      </x:c>
      <x:c r="C326" s="22" t="n">
        <x:f>SUMIFS('Cash'!$C$5:$C$97,'Cash'!$A$5:$A$97,A326)</x:f>
        <x:v>0</x:v>
      </x:c>
      <x:c r="D326" s="22" t="n">
        <x:f>SUMIFS('Cash'!$C$5:$C$97,'Cash'!$A$5:$A$97,"&lt;="&amp;A326,'Cash'!$B$5:$B$97,"EXTERNAL_FUNDING")</x:f>
        <x:v>57285959</x:v>
      </x:c>
      <x:c r="E326" s="22" t="n">
        <x:f>SUMIFS('Cash'!$C$5:$C$97,'Cash'!$A$5:$A$97,"&lt;="&amp;A326,'Cash'!$B$5:$B$97,"DIVIDEND_NET")</x:f>
        <x:v>137750</x:v>
      </x:c>
      <x:c r="F326" s="30" t="str">
        <x:v>n.a.</x:v>
      </x:c>
      <x:c r="G326" s="30" t="str">
        <x:v>n.a.</x:v>
      </x:c>
      <x:c r="H326" s="30" t="str">
        <x:v>n.a.</x:v>
      </x:c>
      <x:c r="I326" s="30" t="str">
        <x:f>IF(COUNT(B326,F326:H326)=4,B326+F326+G326-H326,"n.a.")</x:f>
        <x:v>n.a.</x:v>
      </x:c>
      <x:c r="J326" s="30" t="str">
        <x:v>n.a.</x:v>
      </x:c>
      <x:c r="K326" s="17"/>
      <x:c r="L326" s="17"/>
      <x:c r="M326" s="17"/>
      <x:c r="N326" s="17"/>
    </x:row>
    <x:row r="327" ht="21" customHeight="1">
      <x:c r="A327" s="27" t="d">
        <x:v>2026-05-18T00:00:00.000Z</x:v>
      </x:c>
      <x:c r="B327" s="22" t="n">
        <x:f>SUMIFS('Cash'!$C$5:$C$97,'Cash'!$A$5:$A$97,"&lt;="&amp;A327)</x:f>
        <x:v>30</x:v>
      </x:c>
      <x:c r="C327" s="22" t="n">
        <x:f>SUMIFS('Cash'!$C$5:$C$97,'Cash'!$A$5:$A$97,A327)</x:f>
        <x:v>0</x:v>
      </x:c>
      <x:c r="D327" s="22" t="n">
        <x:f>SUMIFS('Cash'!$C$5:$C$97,'Cash'!$A$5:$A$97,"&lt;="&amp;A327,'Cash'!$B$5:$B$97,"EXTERNAL_FUNDING")</x:f>
        <x:v>57285959</x:v>
      </x:c>
      <x:c r="E327" s="22" t="n">
        <x:f>SUMIFS('Cash'!$C$5:$C$97,'Cash'!$A$5:$A$97,"&lt;="&amp;A327,'Cash'!$B$5:$B$97,"DIVIDEND_NET")</x:f>
        <x:v>137750</x:v>
      </x:c>
      <x:c r="F327" s="30" t="str">
        <x:v>n.a.</x:v>
      </x:c>
      <x:c r="G327" s="30" t="str">
        <x:v>n.a.</x:v>
      </x:c>
      <x:c r="H327" s="30" t="str">
        <x:v>n.a.</x:v>
      </x:c>
      <x:c r="I327" s="30" t="str">
        <x:f>IF(COUNT(B327,F327:H327)=4,B327+F327+G327-H327,"n.a.")</x:f>
        <x:v>n.a.</x:v>
      </x:c>
      <x:c r="J327" s="30" t="str">
        <x:v>n.a.</x:v>
      </x:c>
      <x:c r="K327" s="17"/>
      <x:c r="L327" s="17"/>
      <x:c r="M327" s="17"/>
      <x:c r="N327" s="17"/>
    </x:row>
    <x:row r="328" ht="21" customHeight="1">
      <x:c r="A328" s="27" t="d">
        <x:v>2026-05-19T00:00:00.000Z</x:v>
      </x:c>
      <x:c r="B328" s="22" t="n">
        <x:f>SUMIFS('Cash'!$C$5:$C$97,'Cash'!$A$5:$A$97,"&lt;="&amp;A328)</x:f>
        <x:v>30</x:v>
      </x:c>
      <x:c r="C328" s="22" t="n">
        <x:f>SUMIFS('Cash'!$C$5:$C$97,'Cash'!$A$5:$A$97,A328)</x:f>
        <x:v>0</x:v>
      </x:c>
      <x:c r="D328" s="22" t="n">
        <x:f>SUMIFS('Cash'!$C$5:$C$97,'Cash'!$A$5:$A$97,"&lt;="&amp;A328,'Cash'!$B$5:$B$97,"EXTERNAL_FUNDING")</x:f>
        <x:v>57285959</x:v>
      </x:c>
      <x:c r="E328" s="22" t="n">
        <x:f>SUMIFS('Cash'!$C$5:$C$97,'Cash'!$A$5:$A$97,"&lt;="&amp;A328,'Cash'!$B$5:$B$97,"DIVIDEND_NET")</x:f>
        <x:v>137750</x:v>
      </x:c>
      <x:c r="F328" s="30" t="str">
        <x:v>n.a.</x:v>
      </x:c>
      <x:c r="G328" s="30" t="str">
        <x:v>n.a.</x:v>
      </x:c>
      <x:c r="H328" s="30" t="str">
        <x:v>n.a.</x:v>
      </x:c>
      <x:c r="I328" s="30" t="str">
        <x:f>IF(COUNT(B328,F328:H328)=4,B328+F328+G328-H328,"n.a.")</x:f>
        <x:v>n.a.</x:v>
      </x:c>
      <x:c r="J328" s="30" t="str">
        <x:v>n.a.</x:v>
      </x:c>
      <x:c r="K328" s="17"/>
      <x:c r="L328" s="17"/>
      <x:c r="M328" s="17"/>
      <x:c r="N328" s="17"/>
    </x:row>
    <x:row r="329" ht="21" customHeight="1">
      <x:c r="A329" s="27" t="d">
        <x:v>2026-05-20T00:00:00.000Z</x:v>
      </x:c>
      <x:c r="B329" s="22" t="n">
        <x:f>SUMIFS('Cash'!$C$5:$C$97,'Cash'!$A$5:$A$97,"&lt;="&amp;A329)</x:f>
        <x:v>30</x:v>
      </x:c>
      <x:c r="C329" s="22" t="n">
        <x:f>SUMIFS('Cash'!$C$5:$C$97,'Cash'!$A$5:$A$97,A329)</x:f>
        <x:v>0</x:v>
      </x:c>
      <x:c r="D329" s="22" t="n">
        <x:f>SUMIFS('Cash'!$C$5:$C$97,'Cash'!$A$5:$A$97,"&lt;="&amp;A329,'Cash'!$B$5:$B$97,"EXTERNAL_FUNDING")</x:f>
        <x:v>57285959</x:v>
      </x:c>
      <x:c r="E329" s="22" t="n">
        <x:f>SUMIFS('Cash'!$C$5:$C$97,'Cash'!$A$5:$A$97,"&lt;="&amp;A329,'Cash'!$B$5:$B$97,"DIVIDEND_NET")</x:f>
        <x:v>137750</x:v>
      </x:c>
      <x:c r="F329" s="30" t="str">
        <x:v>n.a.</x:v>
      </x:c>
      <x:c r="G329" s="30" t="str">
        <x:v>n.a.</x:v>
      </x:c>
      <x:c r="H329" s="30" t="str">
        <x:v>n.a.</x:v>
      </x:c>
      <x:c r="I329" s="30" t="str">
        <x:f>IF(COUNT(B329,F329:H329)=4,B329+F329+G329-H329,"n.a.")</x:f>
        <x:v>n.a.</x:v>
      </x:c>
      <x:c r="J329" s="30" t="str">
        <x:v>n.a.</x:v>
      </x:c>
      <x:c r="K329" s="17"/>
      <x:c r="L329" s="17"/>
      <x:c r="M329" s="17"/>
      <x:c r="N329" s="17"/>
    </x:row>
    <x:row r="330" ht="21" customHeight="1">
      <x:c r="A330" s="27" t="d">
        <x:v>2026-05-21T00:00:00.000Z</x:v>
      </x:c>
      <x:c r="B330" s="22" t="n">
        <x:f>SUMIFS('Cash'!$C$5:$C$97,'Cash'!$A$5:$A$97,"&lt;="&amp;A330)</x:f>
        <x:v>200</x:v>
      </x:c>
      <x:c r="C330" s="22" t="n">
        <x:f>SUMIFS('Cash'!$C$5:$C$97,'Cash'!$A$5:$A$97,A330)</x:f>
        <x:v>170</x:v>
      </x:c>
      <x:c r="D330" s="22" t="n">
        <x:f>SUMIFS('Cash'!$C$5:$C$97,'Cash'!$A$5:$A$97,"&lt;="&amp;A330,'Cash'!$B$5:$B$97,"EXTERNAL_FUNDING")</x:f>
        <x:v>65988739</x:v>
      </x:c>
      <x:c r="E330" s="22" t="n">
        <x:f>SUMIFS('Cash'!$C$5:$C$97,'Cash'!$A$5:$A$97,"&lt;="&amp;A330,'Cash'!$B$5:$B$97,"DIVIDEND_NET")</x:f>
        <x:v>137750</x:v>
      </x:c>
      <x:c r="F330" s="30" t="str">
        <x:v>n.a.</x:v>
      </x:c>
      <x:c r="G330" s="30" t="str">
        <x:v>n.a.</x:v>
      </x:c>
      <x:c r="H330" s="30" t="str">
        <x:v>n.a.</x:v>
      </x:c>
      <x:c r="I330" s="30" t="str">
        <x:f>IF(COUNT(B330,F330:H330)=4,B330+F330+G330-H330,"n.a.")</x:f>
        <x:v>n.a.</x:v>
      </x:c>
      <x:c r="J330" s="30" t="str">
        <x:v>n.a.</x:v>
      </x:c>
      <x:c r="K330" s="17"/>
      <x:c r="L330" s="17"/>
      <x:c r="M330" s="17"/>
      <x:c r="N330" s="17"/>
    </x:row>
    <x:row r="331" ht="21" customHeight="1">
      <x:c r="A331" s="27" t="d">
        <x:v>2026-05-22T00:00:00.000Z</x:v>
      </x:c>
      <x:c r="B331" s="22" t="n">
        <x:f>SUMIFS('Cash'!$C$5:$C$97,'Cash'!$A$5:$A$97,"&lt;="&amp;A331)</x:f>
        <x:v>200</x:v>
      </x:c>
      <x:c r="C331" s="22" t="n">
        <x:f>SUMIFS('Cash'!$C$5:$C$97,'Cash'!$A$5:$A$97,A331)</x:f>
        <x:v>0</x:v>
      </x:c>
      <x:c r="D331" s="22" t="n">
        <x:f>SUMIFS('Cash'!$C$5:$C$97,'Cash'!$A$5:$A$97,"&lt;="&amp;A331,'Cash'!$B$5:$B$97,"EXTERNAL_FUNDING")</x:f>
        <x:v>65988739</x:v>
      </x:c>
      <x:c r="E331" s="22" t="n">
        <x:f>SUMIFS('Cash'!$C$5:$C$97,'Cash'!$A$5:$A$97,"&lt;="&amp;A331,'Cash'!$B$5:$B$97,"DIVIDEND_NET")</x:f>
        <x:v>137750</x:v>
      </x:c>
      <x:c r="F331" s="30" t="str">
        <x:v>n.a.</x:v>
      </x:c>
      <x:c r="G331" s="30" t="str">
        <x:v>n.a.</x:v>
      </x:c>
      <x:c r="H331" s="30" t="str">
        <x:v>n.a.</x:v>
      </x:c>
      <x:c r="I331" s="30" t="str">
        <x:f>IF(COUNT(B331,F331:H331)=4,B331+F331+G331-H331,"n.a.")</x:f>
        <x:v>n.a.</x:v>
      </x:c>
      <x:c r="J331" s="30" t="str">
        <x:v>n.a.</x:v>
      </x:c>
      <x:c r="K331" s="17"/>
      <x:c r="L331" s="17"/>
      <x:c r="M331" s="17"/>
      <x:c r="N331" s="17"/>
    </x:row>
    <x:row r="332" ht="21" customHeight="1">
      <x:c r="A332" s="27" t="d">
        <x:v>2026-05-23T00:00:00.000Z</x:v>
      </x:c>
      <x:c r="B332" s="22" t="n">
        <x:f>SUMIFS('Cash'!$C$5:$C$97,'Cash'!$A$5:$A$97,"&lt;="&amp;A332)</x:f>
        <x:v>200</x:v>
      </x:c>
      <x:c r="C332" s="22" t="n">
        <x:f>SUMIFS('Cash'!$C$5:$C$97,'Cash'!$A$5:$A$97,A332)</x:f>
        <x:v>0</x:v>
      </x:c>
      <x:c r="D332" s="22" t="n">
        <x:f>SUMIFS('Cash'!$C$5:$C$97,'Cash'!$A$5:$A$97,"&lt;="&amp;A332,'Cash'!$B$5:$B$97,"EXTERNAL_FUNDING")</x:f>
        <x:v>65988739</x:v>
      </x:c>
      <x:c r="E332" s="22" t="n">
        <x:f>SUMIFS('Cash'!$C$5:$C$97,'Cash'!$A$5:$A$97,"&lt;="&amp;A332,'Cash'!$B$5:$B$97,"DIVIDEND_NET")</x:f>
        <x:v>137750</x:v>
      </x:c>
      <x:c r="F332" s="30" t="str">
        <x:v>n.a.</x:v>
      </x:c>
      <x:c r="G332" s="30" t="str">
        <x:v>n.a.</x:v>
      </x:c>
      <x:c r="H332" s="30" t="str">
        <x:v>n.a.</x:v>
      </x:c>
      <x:c r="I332" s="30" t="str">
        <x:f>IF(COUNT(B332,F332:H332)=4,B332+F332+G332-H332,"n.a.")</x:f>
        <x:v>n.a.</x:v>
      </x:c>
      <x:c r="J332" s="30" t="str">
        <x:v>n.a.</x:v>
      </x:c>
      <x:c r="K332" s="17"/>
      <x:c r="L332" s="17"/>
      <x:c r="M332" s="17"/>
      <x:c r="N332" s="17"/>
    </x:row>
    <x:row r="333" ht="21" customHeight="1">
      <x:c r="A333" s="27" t="d">
        <x:v>2026-05-24T00:00:00.000Z</x:v>
      </x:c>
      <x:c r="B333" s="22" t="n">
        <x:f>SUMIFS('Cash'!$C$5:$C$97,'Cash'!$A$5:$A$97,"&lt;="&amp;A333)</x:f>
        <x:v>200</x:v>
      </x:c>
      <x:c r="C333" s="22" t="n">
        <x:f>SUMIFS('Cash'!$C$5:$C$97,'Cash'!$A$5:$A$97,A333)</x:f>
        <x:v>0</x:v>
      </x:c>
      <x:c r="D333" s="22" t="n">
        <x:f>SUMIFS('Cash'!$C$5:$C$97,'Cash'!$A$5:$A$97,"&lt;="&amp;A333,'Cash'!$B$5:$B$97,"EXTERNAL_FUNDING")</x:f>
        <x:v>65988739</x:v>
      </x:c>
      <x:c r="E333" s="22" t="n">
        <x:f>SUMIFS('Cash'!$C$5:$C$97,'Cash'!$A$5:$A$97,"&lt;="&amp;A333,'Cash'!$B$5:$B$97,"DIVIDEND_NET")</x:f>
        <x:v>137750</x:v>
      </x:c>
      <x:c r="F333" s="30" t="str">
        <x:v>n.a.</x:v>
      </x:c>
      <x:c r="G333" s="30" t="str">
        <x:v>n.a.</x:v>
      </x:c>
      <x:c r="H333" s="30" t="str">
        <x:v>n.a.</x:v>
      </x:c>
      <x:c r="I333" s="30" t="str">
        <x:f>IF(COUNT(B333,F333:H333)=4,B333+F333+G333-H333,"n.a.")</x:f>
        <x:v>n.a.</x:v>
      </x:c>
      <x:c r="J333" s="30" t="str">
        <x:v>n.a.</x:v>
      </x:c>
      <x:c r="K333" s="17"/>
      <x:c r="L333" s="17"/>
      <x:c r="M333" s="17"/>
      <x:c r="N333" s="17"/>
    </x:row>
    <x:row r="334" ht="21" customHeight="1">
      <x:c r="A334" s="27" t="d">
        <x:v>2026-05-25T00:00:00.000Z</x:v>
      </x:c>
      <x:c r="B334" s="22" t="n">
        <x:f>SUMIFS('Cash'!$C$5:$C$97,'Cash'!$A$5:$A$97,"&lt;="&amp;A334)</x:f>
        <x:v>240</x:v>
      </x:c>
      <x:c r="C334" s="22" t="n">
        <x:f>SUMIFS('Cash'!$C$5:$C$97,'Cash'!$A$5:$A$97,A334)</x:f>
        <x:v>40</x:v>
      </x:c>
      <x:c r="D334" s="22" t="n">
        <x:f>SUMIFS('Cash'!$C$5:$C$97,'Cash'!$A$5:$A$97,"&lt;="&amp;A334,'Cash'!$B$5:$B$97,"EXTERNAL_FUNDING")</x:f>
        <x:v>65988779</x:v>
      </x:c>
      <x:c r="E334" s="22" t="n">
        <x:f>SUMIFS('Cash'!$C$5:$C$97,'Cash'!$A$5:$A$97,"&lt;="&amp;A334,'Cash'!$B$5:$B$97,"DIVIDEND_NET")</x:f>
        <x:v>137750</x:v>
      </x:c>
      <x:c r="F334" s="30" t="str">
        <x:v>n.a.</x:v>
      </x:c>
      <x:c r="G334" s="30" t="str">
        <x:v>n.a.</x:v>
      </x:c>
      <x:c r="H334" s="30" t="str">
        <x:v>n.a.</x:v>
      </x:c>
      <x:c r="I334" s="30" t="str">
        <x:f>IF(COUNT(B334,F334:H334)=4,B334+F334+G334-H334,"n.a.")</x:f>
        <x:v>n.a.</x:v>
      </x:c>
      <x:c r="J334" s="30" t="str">
        <x:v>n.a.</x:v>
      </x:c>
      <x:c r="K334" s="17"/>
      <x:c r="L334" s="17"/>
      <x:c r="M334" s="17"/>
      <x:c r="N334" s="17"/>
    </x:row>
    <x:row r="335" ht="21" customHeight="1">
      <x:c r="A335" s="27" t="d">
        <x:v>2026-05-26T00:00:00.000Z</x:v>
      </x:c>
      <x:c r="B335" s="22" t="n">
        <x:f>SUMIFS('Cash'!$C$5:$C$97,'Cash'!$A$5:$A$97,"&lt;="&amp;A335)</x:f>
        <x:v>240</x:v>
      </x:c>
      <x:c r="C335" s="22" t="n">
        <x:f>SUMIFS('Cash'!$C$5:$C$97,'Cash'!$A$5:$A$97,A335)</x:f>
        <x:v>0</x:v>
      </x:c>
      <x:c r="D335" s="22" t="n">
        <x:f>SUMIFS('Cash'!$C$5:$C$97,'Cash'!$A$5:$A$97,"&lt;="&amp;A335,'Cash'!$B$5:$B$97,"EXTERNAL_FUNDING")</x:f>
        <x:v>65988779</x:v>
      </x:c>
      <x:c r="E335" s="22" t="n">
        <x:f>SUMIFS('Cash'!$C$5:$C$97,'Cash'!$A$5:$A$97,"&lt;="&amp;A335,'Cash'!$B$5:$B$97,"DIVIDEND_NET")</x:f>
        <x:v>137750</x:v>
      </x:c>
      <x:c r="F335" s="30" t="str">
        <x:v>n.a.</x:v>
      </x:c>
      <x:c r="G335" s="30" t="str">
        <x:v>n.a.</x:v>
      </x:c>
      <x:c r="H335" s="30" t="str">
        <x:v>n.a.</x:v>
      </x:c>
      <x:c r="I335" s="30" t="str">
        <x:f>IF(COUNT(B335,F335:H335)=4,B335+F335+G335-H335,"n.a.")</x:f>
        <x:v>n.a.</x:v>
      </x:c>
      <x:c r="J335" s="30" t="str">
        <x:v>n.a.</x:v>
      </x:c>
      <x:c r="K335" s="17"/>
      <x:c r="L335" s="17"/>
      <x:c r="M335" s="17"/>
      <x:c r="N335" s="17"/>
    </x:row>
    <x:row r="336" ht="21" customHeight="1">
      <x:c r="A336" s="27" t="d">
        <x:v>2026-05-27T00:00:00.000Z</x:v>
      </x:c>
      <x:c r="B336" s="22" t="n">
        <x:f>SUMIFS('Cash'!$C$5:$C$97,'Cash'!$A$5:$A$97,"&lt;="&amp;A336)</x:f>
        <x:v>240</x:v>
      </x:c>
      <x:c r="C336" s="22" t="n">
        <x:f>SUMIFS('Cash'!$C$5:$C$97,'Cash'!$A$5:$A$97,A336)</x:f>
        <x:v>0</x:v>
      </x:c>
      <x:c r="D336" s="22" t="n">
        <x:f>SUMIFS('Cash'!$C$5:$C$97,'Cash'!$A$5:$A$97,"&lt;="&amp;A336,'Cash'!$B$5:$B$97,"EXTERNAL_FUNDING")</x:f>
        <x:v>65988779</x:v>
      </x:c>
      <x:c r="E336" s="22" t="n">
        <x:f>SUMIFS('Cash'!$C$5:$C$97,'Cash'!$A$5:$A$97,"&lt;="&amp;A336,'Cash'!$B$5:$B$97,"DIVIDEND_NET")</x:f>
        <x:v>137750</x:v>
      </x:c>
      <x:c r="F336" s="30" t="str">
        <x:v>n.a.</x:v>
      </x:c>
      <x:c r="G336" s="30" t="str">
        <x:v>n.a.</x:v>
      </x:c>
      <x:c r="H336" s="30" t="str">
        <x:v>n.a.</x:v>
      </x:c>
      <x:c r="I336" s="30" t="str">
        <x:f>IF(COUNT(B336,F336:H336)=4,B336+F336+G336-H336,"n.a.")</x:f>
        <x:v>n.a.</x:v>
      </x:c>
      <x:c r="J336" s="30" t="str">
        <x:v>n.a.</x:v>
      </x:c>
      <x:c r="K336" s="17"/>
      <x:c r="L336" s="17"/>
      <x:c r="M336" s="17"/>
      <x:c r="N336" s="17"/>
    </x:row>
    <x:row r="337" ht="21" customHeight="1">
      <x:c r="A337" s="27" t="d">
        <x:v>2026-05-28T00:00:00.000Z</x:v>
      </x:c>
      <x:c r="B337" s="22" t="n">
        <x:f>SUMIFS('Cash'!$C$5:$C$97,'Cash'!$A$5:$A$97,"&lt;="&amp;A337)</x:f>
        <x:v>240</x:v>
      </x:c>
      <x:c r="C337" s="22" t="n">
        <x:f>SUMIFS('Cash'!$C$5:$C$97,'Cash'!$A$5:$A$97,A337)</x:f>
        <x:v>0</x:v>
      </x:c>
      <x:c r="D337" s="22" t="n">
        <x:f>SUMIFS('Cash'!$C$5:$C$97,'Cash'!$A$5:$A$97,"&lt;="&amp;A337,'Cash'!$B$5:$B$97,"EXTERNAL_FUNDING")</x:f>
        <x:v>65988779</x:v>
      </x:c>
      <x:c r="E337" s="22" t="n">
        <x:f>SUMIFS('Cash'!$C$5:$C$97,'Cash'!$A$5:$A$97,"&lt;="&amp;A337,'Cash'!$B$5:$B$97,"DIVIDEND_NET")</x:f>
        <x:v>137750</x:v>
      </x:c>
      <x:c r="F337" s="30" t="str">
        <x:v>n.a.</x:v>
      </x:c>
      <x:c r="G337" s="30" t="str">
        <x:v>n.a.</x:v>
      </x:c>
      <x:c r="H337" s="30" t="str">
        <x:v>n.a.</x:v>
      </x:c>
      <x:c r="I337" s="30" t="str">
        <x:f>IF(COUNT(B337,F337:H337)=4,B337+F337+G337-H337,"n.a.")</x:f>
        <x:v>n.a.</x:v>
      </x:c>
      <x:c r="J337" s="30" t="str">
        <x:v>n.a.</x:v>
      </x:c>
      <x:c r="K337" s="17"/>
      <x:c r="L337" s="17"/>
      <x:c r="M337" s="17"/>
      <x:c r="N337" s="17"/>
    </x:row>
    <x:row r="338" ht="21" customHeight="1">
      <x:c r="A338" s="27" t="d">
        <x:v>2026-05-29T00:00:00.000Z</x:v>
      </x:c>
      <x:c r="B338" s="22" t="n">
        <x:f>SUMIFS('Cash'!$C$5:$C$97,'Cash'!$A$5:$A$97,"&lt;="&amp;A338)</x:f>
        <x:v>0</x:v>
      </x:c>
      <x:c r="C338" s="22" t="n">
        <x:f>SUMIFS('Cash'!$C$5:$C$97,'Cash'!$A$5:$A$97,A338)</x:f>
        <x:v>-240</x:v>
      </x:c>
      <x:c r="D338" s="22" t="n">
        <x:f>SUMIFS('Cash'!$C$5:$C$97,'Cash'!$A$5:$A$97,"&lt;="&amp;A338,'Cash'!$B$5:$B$97,"EXTERNAL_FUNDING")</x:f>
        <x:v>65988779</x:v>
      </x:c>
      <x:c r="E338" s="22" t="n">
        <x:f>SUMIFS('Cash'!$C$5:$C$97,'Cash'!$A$5:$A$97,"&lt;="&amp;A338,'Cash'!$B$5:$B$97,"DIVIDEND_NET")</x:f>
        <x:v>137750</x:v>
      </x:c>
      <x:c r="F338" s="30" t="str">
        <x:v>n.a.</x:v>
      </x:c>
      <x:c r="G338" s="30" t="str">
        <x:v>n.a.</x:v>
      </x:c>
      <x:c r="H338" s="30" t="str">
        <x:v>n.a.</x:v>
      </x:c>
      <x:c r="I338" s="30" t="str">
        <x:f>IF(COUNT(B338,F338:H338)=4,B338+F338+G338-H338,"n.a.")</x:f>
        <x:v>n.a.</x:v>
      </x:c>
      <x:c r="J338" s="30" t="str">
        <x:v>n.a.</x:v>
      </x:c>
      <x:c r="K338" s="17"/>
      <x:c r="L338" s="17"/>
      <x:c r="M338" s="17"/>
      <x:c r="N338" s="17"/>
    </x:row>
    <x:row r="339" ht="21" customHeight="1">
      <x:c r="A339" s="27" t="d">
        <x:v>2026-05-30T00:00:00.000Z</x:v>
      </x:c>
      <x:c r="B339" s="22" t="n">
        <x:f>SUMIFS('Cash'!$C$5:$C$97,'Cash'!$A$5:$A$97,"&lt;="&amp;A339)</x:f>
        <x:v>0</x:v>
      </x:c>
      <x:c r="C339" s="22" t="n">
        <x:f>SUMIFS('Cash'!$C$5:$C$97,'Cash'!$A$5:$A$97,A339)</x:f>
        <x:v>0</x:v>
      </x:c>
      <x:c r="D339" s="22" t="n">
        <x:f>SUMIFS('Cash'!$C$5:$C$97,'Cash'!$A$5:$A$97,"&lt;="&amp;A339,'Cash'!$B$5:$B$97,"EXTERNAL_FUNDING")</x:f>
        <x:v>65988779</x:v>
      </x:c>
      <x:c r="E339" s="22" t="n">
        <x:f>SUMIFS('Cash'!$C$5:$C$97,'Cash'!$A$5:$A$97,"&lt;="&amp;A339,'Cash'!$B$5:$B$97,"DIVIDEND_NET")</x:f>
        <x:v>137750</x:v>
      </x:c>
      <x:c r="F339" s="30" t="str">
        <x:v>n.a.</x:v>
      </x:c>
      <x:c r="G339" s="30" t="str">
        <x:v>n.a.</x:v>
      </x:c>
      <x:c r="H339" s="30" t="str">
        <x:v>n.a.</x:v>
      </x:c>
      <x:c r="I339" s="30" t="str">
        <x:f>IF(COUNT(B339,F339:H339)=4,B339+F339+G339-H339,"n.a.")</x:f>
        <x:v>n.a.</x:v>
      </x:c>
      <x:c r="J339" s="30" t="str">
        <x:v>n.a.</x:v>
      </x:c>
      <x:c r="K339" s="17"/>
      <x:c r="L339" s="17"/>
      <x:c r="M339" s="17"/>
      <x:c r="N339" s="17"/>
    </x:row>
    <x:row r="340" ht="21" customHeight="1">
      <x:c r="A340" s="27" t="d">
        <x:v>2026-05-31T00:00:00.000Z</x:v>
      </x:c>
      <x:c r="B340" s="22" t="n">
        <x:f>SUMIFS('Cash'!$C$5:$C$97,'Cash'!$A$5:$A$97,"&lt;="&amp;A340)</x:f>
        <x:v>0</x:v>
      </x:c>
      <x:c r="C340" s="22" t="n">
        <x:f>SUMIFS('Cash'!$C$5:$C$97,'Cash'!$A$5:$A$97,A340)</x:f>
        <x:v>0</x:v>
      </x:c>
      <x:c r="D340" s="22" t="n">
        <x:f>SUMIFS('Cash'!$C$5:$C$97,'Cash'!$A$5:$A$97,"&lt;="&amp;A340,'Cash'!$B$5:$B$97,"EXTERNAL_FUNDING")</x:f>
        <x:v>65988779</x:v>
      </x:c>
      <x:c r="E340" s="22" t="n">
        <x:f>SUMIFS('Cash'!$C$5:$C$97,'Cash'!$A$5:$A$97,"&lt;="&amp;A340,'Cash'!$B$5:$B$97,"DIVIDEND_NET")</x:f>
        <x:v>137750</x:v>
      </x:c>
      <x:c r="F340" s="30" t="str">
        <x:v>n.a.</x:v>
      </x:c>
      <x:c r="G340" s="30" t="str">
        <x:v>n.a.</x:v>
      </x:c>
      <x:c r="H340" s="30" t="str">
        <x:v>n.a.</x:v>
      </x:c>
      <x:c r="I340" s="30" t="str">
        <x:f>IF(COUNT(B340,F340:H340)=4,B340+F340+G340-H340,"n.a.")</x:f>
        <x:v>n.a.</x:v>
      </x:c>
      <x:c r="J340" s="30" t="str">
        <x:v>n.a.</x:v>
      </x:c>
      <x:c r="K340" s="17"/>
      <x:c r="L340" s="17"/>
      <x:c r="M340" s="17"/>
      <x:c r="N340" s="17"/>
    </x:row>
    <x:row r="341" ht="21" customHeight="1">
      <x:c r="A341" s="27" t="d">
        <x:v>2026-06-01T00:00:00.000Z</x:v>
      </x:c>
      <x:c r="B341" s="22" t="n">
        <x:f>SUMIFS('Cash'!$C$5:$C$97,'Cash'!$A$5:$A$97,"&lt;="&amp;A341)</x:f>
        <x:v>0</x:v>
      </x:c>
      <x:c r="C341" s="22" t="n">
        <x:f>SUMIFS('Cash'!$C$5:$C$97,'Cash'!$A$5:$A$97,A341)</x:f>
        <x:v>0</x:v>
      </x:c>
      <x:c r="D341" s="22" t="n">
        <x:f>SUMIFS('Cash'!$C$5:$C$97,'Cash'!$A$5:$A$97,"&lt;="&amp;A341,'Cash'!$B$5:$B$97,"EXTERNAL_FUNDING")</x:f>
        <x:v>65988779</x:v>
      </x:c>
      <x:c r="E341" s="22" t="n">
        <x:f>SUMIFS('Cash'!$C$5:$C$97,'Cash'!$A$5:$A$97,"&lt;="&amp;A341,'Cash'!$B$5:$B$97,"DIVIDEND_NET")</x:f>
        <x:v>137750</x:v>
      </x:c>
      <x:c r="F341" s="30" t="str">
        <x:v>n.a.</x:v>
      </x:c>
      <x:c r="G341" s="30" t="str">
        <x:v>n.a.</x:v>
      </x:c>
      <x:c r="H341" s="30" t="str">
        <x:v>n.a.</x:v>
      </x:c>
      <x:c r="I341" s="30" t="str">
        <x:f>IF(COUNT(B341,F341:H341)=4,B341+F341+G341-H341,"n.a.")</x:f>
        <x:v>n.a.</x:v>
      </x:c>
      <x:c r="J341" s="30" t="str">
        <x:v>n.a.</x:v>
      </x:c>
      <x:c r="K341" s="17"/>
      <x:c r="L341" s="17"/>
      <x:c r="M341" s="17"/>
      <x:c r="N341" s="17"/>
    </x:row>
    <x:row r="342" ht="21" customHeight="1">
      <x:c r="A342" s="27" t="d">
        <x:v>2026-06-02T00:00:00.000Z</x:v>
      </x:c>
      <x:c r="B342" s="22" t="n">
        <x:f>SUMIFS('Cash'!$C$5:$C$97,'Cash'!$A$5:$A$97,"&lt;="&amp;A342)</x:f>
        <x:v>0</x:v>
      </x:c>
      <x:c r="C342" s="22" t="n">
        <x:f>SUMIFS('Cash'!$C$5:$C$97,'Cash'!$A$5:$A$97,A342)</x:f>
        <x:v>0</x:v>
      </x:c>
      <x:c r="D342" s="22" t="n">
        <x:f>SUMIFS('Cash'!$C$5:$C$97,'Cash'!$A$5:$A$97,"&lt;="&amp;A342,'Cash'!$B$5:$B$97,"EXTERNAL_FUNDING")</x:f>
        <x:v>65988779</x:v>
      </x:c>
      <x:c r="E342" s="22" t="n">
        <x:f>SUMIFS('Cash'!$C$5:$C$97,'Cash'!$A$5:$A$97,"&lt;="&amp;A342,'Cash'!$B$5:$B$97,"DIVIDEND_NET")</x:f>
        <x:v>137750</x:v>
      </x:c>
      <x:c r="F342" s="30" t="str">
        <x:v>n.a.</x:v>
      </x:c>
      <x:c r="G342" s="30" t="str">
        <x:v>n.a.</x:v>
      </x:c>
      <x:c r="H342" s="30" t="str">
        <x:v>n.a.</x:v>
      </x:c>
      <x:c r="I342" s="30" t="str">
        <x:f>IF(COUNT(B342,F342:H342)=4,B342+F342+G342-H342,"n.a.")</x:f>
        <x:v>n.a.</x:v>
      </x:c>
      <x:c r="J342" s="30" t="str">
        <x:v>n.a.</x:v>
      </x:c>
      <x:c r="K342" s="17"/>
      <x:c r="L342" s="17"/>
      <x:c r="M342" s="17"/>
      <x:c r="N342" s="17"/>
    </x:row>
    <x:row r="343" ht="21" customHeight="1">
      <x:c r="A343" s="27" t="d">
        <x:v>2026-06-03T00:00:00.000Z</x:v>
      </x:c>
      <x:c r="B343" s="22" t="n">
        <x:f>SUMIFS('Cash'!$C$5:$C$97,'Cash'!$A$5:$A$97,"&lt;="&amp;A343)</x:f>
        <x:v>47423</x:v>
      </x:c>
      <x:c r="C343" s="22" t="n">
        <x:f>SUMIFS('Cash'!$C$5:$C$97,'Cash'!$A$5:$A$97,A343)</x:f>
        <x:v>47423</x:v>
      </x:c>
      <x:c r="D343" s="22" t="n">
        <x:f>SUMIFS('Cash'!$C$5:$C$97,'Cash'!$A$5:$A$97,"&lt;="&amp;A343,'Cash'!$B$5:$B$97,"EXTERNAL_FUNDING")</x:f>
        <x:v>65988779</x:v>
      </x:c>
      <x:c r="E343" s="22" t="n">
        <x:f>SUMIFS('Cash'!$C$5:$C$97,'Cash'!$A$5:$A$97,"&lt;="&amp;A343,'Cash'!$B$5:$B$97,"DIVIDEND_NET")</x:f>
        <x:v>185250</x:v>
      </x:c>
      <x:c r="F343" s="30" t="str">
        <x:v>n.a.</x:v>
      </x:c>
      <x:c r="G343" s="30" t="str">
        <x:v>n.a.</x:v>
      </x:c>
      <x:c r="H343" s="30" t="str">
        <x:v>n.a.</x:v>
      </x:c>
      <x:c r="I343" s="30" t="str">
        <x:f>IF(COUNT(B343,F343:H343)=4,B343+F343+G343-H343,"n.a.")</x:f>
        <x:v>n.a.</x:v>
      </x:c>
      <x:c r="J343" s="30" t="str">
        <x:v>n.a.</x:v>
      </x:c>
      <x:c r="K343" s="17"/>
      <x:c r="L343" s="17"/>
      <x:c r="M343" s="17"/>
      <x:c r="N343" s="17"/>
    </x:row>
    <x:row r="344" ht="21" customHeight="1">
      <x:c r="A344" s="27" t="d">
        <x:v>2026-06-04T00:00:00.000Z</x:v>
      </x:c>
      <x:c r="B344" s="22" t="n">
        <x:f>SUMIFS('Cash'!$C$5:$C$97,'Cash'!$A$5:$A$97,"&lt;="&amp;A344)</x:f>
        <x:v>47423</x:v>
      </x:c>
      <x:c r="C344" s="22" t="n">
        <x:f>SUMIFS('Cash'!$C$5:$C$97,'Cash'!$A$5:$A$97,A344)</x:f>
        <x:v>0</x:v>
      </x:c>
      <x:c r="D344" s="22" t="n">
        <x:f>SUMIFS('Cash'!$C$5:$C$97,'Cash'!$A$5:$A$97,"&lt;="&amp;A344,'Cash'!$B$5:$B$97,"EXTERNAL_FUNDING")</x:f>
        <x:v>65988779</x:v>
      </x:c>
      <x:c r="E344" s="22" t="n">
        <x:f>SUMIFS('Cash'!$C$5:$C$97,'Cash'!$A$5:$A$97,"&lt;="&amp;A344,'Cash'!$B$5:$B$97,"DIVIDEND_NET")</x:f>
        <x:v>185250</x:v>
      </x:c>
      <x:c r="F344" s="30" t="str">
        <x:v>n.a.</x:v>
      </x:c>
      <x:c r="G344" s="30" t="str">
        <x:v>n.a.</x:v>
      </x:c>
      <x:c r="H344" s="30" t="str">
        <x:v>n.a.</x:v>
      </x:c>
      <x:c r="I344" s="30" t="str">
        <x:f>IF(COUNT(B344,F344:H344)=4,B344+F344+G344-H344,"n.a.")</x:f>
        <x:v>n.a.</x:v>
      </x:c>
      <x:c r="J344" s="30" t="str">
        <x:v>n.a.</x:v>
      </x:c>
      <x:c r="K344" s="17"/>
      <x:c r="L344" s="17"/>
      <x:c r="M344" s="17"/>
      <x:c r="N344" s="17"/>
    </x:row>
    <x:row r="345" ht="21" customHeight="1">
      <x:c r="A345" s="27" t="d">
        <x:v>2026-06-05T00:00:00.000Z</x:v>
      </x:c>
      <x:c r="B345" s="22" t="n">
        <x:f>SUMIFS('Cash'!$C$5:$C$97,'Cash'!$A$5:$A$97,"&lt;="&amp;A345)</x:f>
        <x:v>47423</x:v>
      </x:c>
      <x:c r="C345" s="22" t="n">
        <x:f>SUMIFS('Cash'!$C$5:$C$97,'Cash'!$A$5:$A$97,A345)</x:f>
        <x:v>0</x:v>
      </x:c>
      <x:c r="D345" s="22" t="n">
        <x:f>SUMIFS('Cash'!$C$5:$C$97,'Cash'!$A$5:$A$97,"&lt;="&amp;A345,'Cash'!$B$5:$B$97,"EXTERNAL_FUNDING")</x:f>
        <x:v>65988779</x:v>
      </x:c>
      <x:c r="E345" s="22" t="n">
        <x:f>SUMIFS('Cash'!$C$5:$C$97,'Cash'!$A$5:$A$97,"&lt;="&amp;A345,'Cash'!$B$5:$B$97,"DIVIDEND_NET")</x:f>
        <x:v>185250</x:v>
      </x:c>
      <x:c r="F345" s="30" t="str">
        <x:v>n.a.</x:v>
      </x:c>
      <x:c r="G345" s="30" t="str">
        <x:v>n.a.</x:v>
      </x:c>
      <x:c r="H345" s="30" t="str">
        <x:v>n.a.</x:v>
      </x:c>
      <x:c r="I345" s="30" t="str">
        <x:f>IF(COUNT(B345,F345:H345)=4,B345+F345+G345-H345,"n.a.")</x:f>
        <x:v>n.a.</x:v>
      </x:c>
      <x:c r="J345" s="30" t="str">
        <x:v>n.a.</x:v>
      </x:c>
      <x:c r="K345" s="17"/>
      <x:c r="L345" s="17"/>
      <x:c r="M345" s="17"/>
      <x:c r="N345" s="17"/>
    </x:row>
    <x:row r="346" ht="21" customHeight="1">
      <x:c r="A346" s="27" t="d">
        <x:v>2026-06-06T00:00:00.000Z</x:v>
      </x:c>
      <x:c r="B346" s="22" t="n">
        <x:f>SUMIFS('Cash'!$C$5:$C$97,'Cash'!$A$5:$A$97,"&lt;="&amp;A346)</x:f>
        <x:v>47423</x:v>
      </x:c>
      <x:c r="C346" s="22" t="n">
        <x:f>SUMIFS('Cash'!$C$5:$C$97,'Cash'!$A$5:$A$97,A346)</x:f>
        <x:v>0</x:v>
      </x:c>
      <x:c r="D346" s="22" t="n">
        <x:f>SUMIFS('Cash'!$C$5:$C$97,'Cash'!$A$5:$A$97,"&lt;="&amp;A346,'Cash'!$B$5:$B$97,"EXTERNAL_FUNDING")</x:f>
        <x:v>65988779</x:v>
      </x:c>
      <x:c r="E346" s="22" t="n">
        <x:f>SUMIFS('Cash'!$C$5:$C$97,'Cash'!$A$5:$A$97,"&lt;="&amp;A346,'Cash'!$B$5:$B$97,"DIVIDEND_NET")</x:f>
        <x:v>185250</x:v>
      </x:c>
      <x:c r="F346" s="30" t="str">
        <x:v>n.a.</x:v>
      </x:c>
      <x:c r="G346" s="30" t="str">
        <x:v>n.a.</x:v>
      </x:c>
      <x:c r="H346" s="30" t="str">
        <x:v>n.a.</x:v>
      </x:c>
      <x:c r="I346" s="30" t="str">
        <x:f>IF(COUNT(B346,F346:H346)=4,B346+F346+G346-H346,"n.a.")</x:f>
        <x:v>n.a.</x:v>
      </x:c>
      <x:c r="J346" s="30" t="str">
        <x:v>n.a.</x:v>
      </x:c>
      <x:c r="K346" s="17"/>
      <x:c r="L346" s="17"/>
      <x:c r="M346" s="17"/>
      <x:c r="N346" s="17"/>
    </x:row>
    <x:row r="347" ht="21" customHeight="1">
      <x:c r="A347" s="27" t="d">
        <x:v>2026-06-07T00:00:00.000Z</x:v>
      </x:c>
      <x:c r="B347" s="22" t="n">
        <x:f>SUMIFS('Cash'!$C$5:$C$97,'Cash'!$A$5:$A$97,"&lt;="&amp;A347)</x:f>
        <x:v>47423</x:v>
      </x:c>
      <x:c r="C347" s="22" t="n">
        <x:f>SUMIFS('Cash'!$C$5:$C$97,'Cash'!$A$5:$A$97,A347)</x:f>
        <x:v>0</x:v>
      </x:c>
      <x:c r="D347" s="22" t="n">
        <x:f>SUMIFS('Cash'!$C$5:$C$97,'Cash'!$A$5:$A$97,"&lt;="&amp;A347,'Cash'!$B$5:$B$97,"EXTERNAL_FUNDING")</x:f>
        <x:v>65988779</x:v>
      </x:c>
      <x:c r="E347" s="22" t="n">
        <x:f>SUMIFS('Cash'!$C$5:$C$97,'Cash'!$A$5:$A$97,"&lt;="&amp;A347,'Cash'!$B$5:$B$97,"DIVIDEND_NET")</x:f>
        <x:v>185250</x:v>
      </x:c>
      <x:c r="F347" s="30" t="str">
        <x:v>n.a.</x:v>
      </x:c>
      <x:c r="G347" s="30" t="str">
        <x:v>n.a.</x:v>
      </x:c>
      <x:c r="H347" s="30" t="str">
        <x:v>n.a.</x:v>
      </x:c>
      <x:c r="I347" s="30" t="str">
        <x:f>IF(COUNT(B347,F347:H347)=4,B347+F347+G347-H347,"n.a.")</x:f>
        <x:v>n.a.</x:v>
      </x:c>
      <x:c r="J347" s="30" t="str">
        <x:v>n.a.</x:v>
      </x:c>
      <x:c r="K347" s="17"/>
      <x:c r="L347" s="17"/>
      <x:c r="M347" s="17"/>
      <x:c r="N347" s="17"/>
    </x:row>
    <x:row r="348" ht="21" customHeight="1">
      <x:c r="A348" s="27" t="d">
        <x:v>2026-06-08T00:00:00.000Z</x:v>
      </x:c>
      <x:c r="B348" s="22" t="n">
        <x:f>SUMIFS('Cash'!$C$5:$C$97,'Cash'!$A$5:$A$97,"&lt;="&amp;A348)</x:f>
        <x:v>47423</x:v>
      </x:c>
      <x:c r="C348" s="22" t="n">
        <x:f>SUMIFS('Cash'!$C$5:$C$97,'Cash'!$A$5:$A$97,A348)</x:f>
        <x:v>0</x:v>
      </x:c>
      <x:c r="D348" s="22" t="n">
        <x:f>SUMIFS('Cash'!$C$5:$C$97,'Cash'!$A$5:$A$97,"&lt;="&amp;A348,'Cash'!$B$5:$B$97,"EXTERNAL_FUNDING")</x:f>
        <x:v>65988779</x:v>
      </x:c>
      <x:c r="E348" s="22" t="n">
        <x:f>SUMIFS('Cash'!$C$5:$C$97,'Cash'!$A$5:$A$97,"&lt;="&amp;A348,'Cash'!$B$5:$B$97,"DIVIDEND_NET")</x:f>
        <x:v>185250</x:v>
      </x:c>
      <x:c r="F348" s="30" t="str">
        <x:v>n.a.</x:v>
      </x:c>
      <x:c r="G348" s="30" t="str">
        <x:v>n.a.</x:v>
      </x:c>
      <x:c r="H348" s="30" t="str">
        <x:v>n.a.</x:v>
      </x:c>
      <x:c r="I348" s="30" t="str">
        <x:f>IF(COUNT(B348,F348:H348)=4,B348+F348+G348-H348,"n.a.")</x:f>
        <x:v>n.a.</x:v>
      </x:c>
      <x:c r="J348" s="30" t="str">
        <x:v>n.a.</x:v>
      </x:c>
      <x:c r="K348" s="17"/>
      <x:c r="L348" s="17"/>
      <x:c r="M348" s="17"/>
      <x:c r="N348" s="17"/>
    </x:row>
    <x:row r="349" ht="21" customHeight="1">
      <x:c r="A349" s="27" t="d">
        <x:v>2026-06-09T00:00:00.000Z</x:v>
      </x:c>
      <x:c r="B349" s="22" t="n">
        <x:f>SUMIFS('Cash'!$C$5:$C$97,'Cash'!$A$5:$A$97,"&lt;="&amp;A349)</x:f>
        <x:v>47423</x:v>
      </x:c>
      <x:c r="C349" s="22" t="n">
        <x:f>SUMIFS('Cash'!$C$5:$C$97,'Cash'!$A$5:$A$97,A349)</x:f>
        <x:v>0</x:v>
      </x:c>
      <x:c r="D349" s="22" t="n">
        <x:f>SUMIFS('Cash'!$C$5:$C$97,'Cash'!$A$5:$A$97,"&lt;="&amp;A349,'Cash'!$B$5:$B$97,"EXTERNAL_FUNDING")</x:f>
        <x:v>65988779</x:v>
      </x:c>
      <x:c r="E349" s="22" t="n">
        <x:f>SUMIFS('Cash'!$C$5:$C$97,'Cash'!$A$5:$A$97,"&lt;="&amp;A349,'Cash'!$B$5:$B$97,"DIVIDEND_NET")</x:f>
        <x:v>185250</x:v>
      </x:c>
      <x:c r="F349" s="30" t="str">
        <x:v>n.a.</x:v>
      </x:c>
      <x:c r="G349" s="30" t="str">
        <x:v>n.a.</x:v>
      </x:c>
      <x:c r="H349" s="30" t="str">
        <x:v>n.a.</x:v>
      </x:c>
      <x:c r="I349" s="30" t="str">
        <x:f>IF(COUNT(B349,F349:H349)=4,B349+F349+G349-H349,"n.a.")</x:f>
        <x:v>n.a.</x:v>
      </x:c>
      <x:c r="J349" s="30" t="str">
        <x:v>n.a.</x:v>
      </x:c>
      <x:c r="K349" s="17"/>
      <x:c r="L349" s="17"/>
      <x:c r="M349" s="17"/>
      <x:c r="N349" s="17"/>
    </x:row>
    <x:row r="350" ht="21" customHeight="1">
      <x:c r="A350" s="27" t="d">
        <x:v>2026-06-10T00:00:00.000Z</x:v>
      </x:c>
      <x:c r="B350" s="22" t="n">
        <x:f>SUMIFS('Cash'!$C$5:$C$97,'Cash'!$A$5:$A$97,"&lt;="&amp;A350)</x:f>
        <x:v>208923</x:v>
      </x:c>
      <x:c r="C350" s="22" t="n">
        <x:f>SUMIFS('Cash'!$C$5:$C$97,'Cash'!$A$5:$A$97,A350)</x:f>
        <x:v>161500</x:v>
      </x:c>
      <x:c r="D350" s="22" t="n">
        <x:f>SUMIFS('Cash'!$C$5:$C$97,'Cash'!$A$5:$A$97,"&lt;="&amp;A350,'Cash'!$B$5:$B$97,"EXTERNAL_FUNDING")</x:f>
        <x:v>65988779</x:v>
      </x:c>
      <x:c r="E350" s="22" t="n">
        <x:f>SUMIFS('Cash'!$C$5:$C$97,'Cash'!$A$5:$A$97,"&lt;="&amp;A350,'Cash'!$B$5:$B$97,"DIVIDEND_NET")</x:f>
        <x:v>346750</x:v>
      </x:c>
      <x:c r="F350" s="30" t="str">
        <x:v>n.a.</x:v>
      </x:c>
      <x:c r="G350" s="30" t="str">
        <x:v>n.a.</x:v>
      </x:c>
      <x:c r="H350" s="30" t="str">
        <x:v>n.a.</x:v>
      </x:c>
      <x:c r="I350" s="30" t="str">
        <x:f>IF(COUNT(B350,F350:H350)=4,B350+F350+G350-H350,"n.a.")</x:f>
        <x:v>n.a.</x:v>
      </x:c>
      <x:c r="J350" s="30" t="str">
        <x:v>n.a.</x:v>
      </x:c>
      <x:c r="K350" s="17"/>
      <x:c r="L350" s="17"/>
      <x:c r="M350" s="17"/>
      <x:c r="N350" s="17"/>
    </x:row>
    <x:row r="351" ht="21" customHeight="1">
      <x:c r="A351" s="27" t="d">
        <x:v>2026-06-11T00:00:00.000Z</x:v>
      </x:c>
      <x:c r="B351" s="22" t="n">
        <x:f>SUMIFS('Cash'!$C$5:$C$97,'Cash'!$A$5:$A$97,"&lt;="&amp;A351)</x:f>
        <x:v>208923</x:v>
      </x:c>
      <x:c r="C351" s="22" t="n">
        <x:f>SUMIFS('Cash'!$C$5:$C$97,'Cash'!$A$5:$A$97,A351)</x:f>
        <x:v>0</x:v>
      </x:c>
      <x:c r="D351" s="22" t="n">
        <x:f>SUMIFS('Cash'!$C$5:$C$97,'Cash'!$A$5:$A$97,"&lt;="&amp;A351,'Cash'!$B$5:$B$97,"EXTERNAL_FUNDING")</x:f>
        <x:v>65988779</x:v>
      </x:c>
      <x:c r="E351" s="22" t="n">
        <x:f>SUMIFS('Cash'!$C$5:$C$97,'Cash'!$A$5:$A$97,"&lt;="&amp;A351,'Cash'!$B$5:$B$97,"DIVIDEND_NET")</x:f>
        <x:v>346750</x:v>
      </x:c>
      <x:c r="F351" s="30" t="str">
        <x:v>n.a.</x:v>
      </x:c>
      <x:c r="G351" s="30" t="str">
        <x:v>n.a.</x:v>
      </x:c>
      <x:c r="H351" s="30" t="str">
        <x:v>n.a.</x:v>
      </x:c>
      <x:c r="I351" s="30" t="str">
        <x:f>IF(COUNT(B351,F351:H351)=4,B351+F351+G351-H351,"n.a.")</x:f>
        <x:v>n.a.</x:v>
      </x:c>
      <x:c r="J351" s="30" t="str">
        <x:v>n.a.</x:v>
      </x:c>
      <x:c r="K351" s="17"/>
      <x:c r="L351" s="17"/>
      <x:c r="M351" s="17"/>
      <x:c r="N351" s="17"/>
    </x:row>
    <x:row r="352" ht="21" customHeight="1">
      <x:c r="A352" s="27" t="d">
        <x:v>2026-06-12T00:00:00.000Z</x:v>
      </x:c>
      <x:c r="B352" s="22" t="n">
        <x:f>SUMIFS('Cash'!$C$5:$C$97,'Cash'!$A$5:$A$97,"&lt;="&amp;A352)</x:f>
        <x:v>208923</x:v>
      </x:c>
      <x:c r="C352" s="22" t="n">
        <x:f>SUMIFS('Cash'!$C$5:$C$97,'Cash'!$A$5:$A$97,A352)</x:f>
        <x:v>0</x:v>
      </x:c>
      <x:c r="D352" s="22" t="n">
        <x:f>SUMIFS('Cash'!$C$5:$C$97,'Cash'!$A$5:$A$97,"&lt;="&amp;A352,'Cash'!$B$5:$B$97,"EXTERNAL_FUNDING")</x:f>
        <x:v>65988779</x:v>
      </x:c>
      <x:c r="E352" s="22" t="n">
        <x:f>SUMIFS('Cash'!$C$5:$C$97,'Cash'!$A$5:$A$97,"&lt;="&amp;A352,'Cash'!$B$5:$B$97,"DIVIDEND_NET")</x:f>
        <x:v>346750</x:v>
      </x:c>
      <x:c r="F352" s="30" t="str">
        <x:v>n.a.</x:v>
      </x:c>
      <x:c r="G352" s="30" t="str">
        <x:v>n.a.</x:v>
      </x:c>
      <x:c r="H352" s="30" t="str">
        <x:v>n.a.</x:v>
      </x:c>
      <x:c r="I352" s="30" t="str">
        <x:f>IF(COUNT(B352,F352:H352)=4,B352+F352+G352-H352,"n.a.")</x:f>
        <x:v>n.a.</x:v>
      </x:c>
      <x:c r="J352" s="30" t="str">
        <x:v>n.a.</x:v>
      </x:c>
      <x:c r="K352" s="17"/>
      <x:c r="L352" s="17"/>
      <x:c r="M352" s="17"/>
      <x:c r="N352" s="17"/>
    </x:row>
    <x:row r="353" ht="21" customHeight="1">
      <x:c r="A353" s="27" t="d">
        <x:v>2026-06-13T00:00:00.000Z</x:v>
      </x:c>
      <x:c r="B353" s="22" t="n">
        <x:f>SUMIFS('Cash'!$C$5:$C$97,'Cash'!$A$5:$A$97,"&lt;="&amp;A353)</x:f>
        <x:v>208923</x:v>
      </x:c>
      <x:c r="C353" s="22" t="n">
        <x:f>SUMIFS('Cash'!$C$5:$C$97,'Cash'!$A$5:$A$97,A353)</x:f>
        <x:v>0</x:v>
      </x:c>
      <x:c r="D353" s="22" t="n">
        <x:f>SUMIFS('Cash'!$C$5:$C$97,'Cash'!$A$5:$A$97,"&lt;="&amp;A353,'Cash'!$B$5:$B$97,"EXTERNAL_FUNDING")</x:f>
        <x:v>65988779</x:v>
      </x:c>
      <x:c r="E353" s="22" t="n">
        <x:f>SUMIFS('Cash'!$C$5:$C$97,'Cash'!$A$5:$A$97,"&lt;="&amp;A353,'Cash'!$B$5:$B$97,"DIVIDEND_NET")</x:f>
        <x:v>346750</x:v>
      </x:c>
      <x:c r="F353" s="30" t="str">
        <x:v>n.a.</x:v>
      </x:c>
      <x:c r="G353" s="30" t="str">
        <x:v>n.a.</x:v>
      </x:c>
      <x:c r="H353" s="30" t="str">
        <x:v>n.a.</x:v>
      </x:c>
      <x:c r="I353" s="30" t="str">
        <x:f>IF(COUNT(B353,F353:H353)=4,B353+F353+G353-H353,"n.a.")</x:f>
        <x:v>n.a.</x:v>
      </x:c>
      <x:c r="J353" s="30" t="str">
        <x:v>n.a.</x:v>
      </x:c>
      <x:c r="K353" s="17"/>
      <x:c r="L353" s="17"/>
      <x:c r="M353" s="17"/>
      <x:c r="N353" s="17"/>
    </x:row>
    <x:row r="354" ht="21" customHeight="1">
      <x:c r="A354" s="27" t="d">
        <x:v>2026-06-14T00:00:00.000Z</x:v>
      </x:c>
      <x:c r="B354" s="22" t="n">
        <x:f>SUMIFS('Cash'!$C$5:$C$97,'Cash'!$A$5:$A$97,"&lt;="&amp;A354)</x:f>
        <x:v>208923</x:v>
      </x:c>
      <x:c r="C354" s="22" t="n">
        <x:f>SUMIFS('Cash'!$C$5:$C$97,'Cash'!$A$5:$A$97,A354)</x:f>
        <x:v>0</x:v>
      </x:c>
      <x:c r="D354" s="22" t="n">
        <x:f>SUMIFS('Cash'!$C$5:$C$97,'Cash'!$A$5:$A$97,"&lt;="&amp;A354,'Cash'!$B$5:$B$97,"EXTERNAL_FUNDING")</x:f>
        <x:v>65988779</x:v>
      </x:c>
      <x:c r="E354" s="22" t="n">
        <x:f>SUMIFS('Cash'!$C$5:$C$97,'Cash'!$A$5:$A$97,"&lt;="&amp;A354,'Cash'!$B$5:$B$97,"DIVIDEND_NET")</x:f>
        <x:v>346750</x:v>
      </x:c>
      <x:c r="F354" s="30" t="str">
        <x:v>n.a.</x:v>
      </x:c>
      <x:c r="G354" s="30" t="str">
        <x:v>n.a.</x:v>
      </x:c>
      <x:c r="H354" s="30" t="str">
        <x:v>n.a.</x:v>
      </x:c>
      <x:c r="I354" s="30" t="str">
        <x:f>IF(COUNT(B354,F354:H354)=4,B354+F354+G354-H354,"n.a.")</x:f>
        <x:v>n.a.</x:v>
      </x:c>
      <x:c r="J354" s="30" t="str">
        <x:v>n.a.</x:v>
      </x:c>
      <x:c r="K354" s="17"/>
      <x:c r="L354" s="17"/>
      <x:c r="M354" s="17"/>
      <x:c r="N354" s="17"/>
    </x:row>
    <x:row r="355" ht="21" customHeight="1">
      <x:c r="A355" s="27" t="d">
        <x:v>2026-06-15T00:00:00.000Z</x:v>
      </x:c>
      <x:c r="B355" s="22" t="n">
        <x:f>SUMIFS('Cash'!$C$5:$C$97,'Cash'!$A$5:$A$97,"&lt;="&amp;A355)</x:f>
        <x:v>208923</x:v>
      </x:c>
      <x:c r="C355" s="22" t="n">
        <x:f>SUMIFS('Cash'!$C$5:$C$97,'Cash'!$A$5:$A$97,A355)</x:f>
        <x:v>0</x:v>
      </x:c>
      <x:c r="D355" s="22" t="n">
        <x:f>SUMIFS('Cash'!$C$5:$C$97,'Cash'!$A$5:$A$97,"&lt;="&amp;A355,'Cash'!$B$5:$B$97,"EXTERNAL_FUNDING")</x:f>
        <x:v>65988779</x:v>
      </x:c>
      <x:c r="E355" s="22" t="n">
        <x:f>SUMIFS('Cash'!$C$5:$C$97,'Cash'!$A$5:$A$97,"&lt;="&amp;A355,'Cash'!$B$5:$B$97,"DIVIDEND_NET")</x:f>
        <x:v>346750</x:v>
      </x:c>
      <x:c r="F355" s="30" t="str">
        <x:v>n.a.</x:v>
      </x:c>
      <x:c r="G355" s="30" t="str">
        <x:v>n.a.</x:v>
      </x:c>
      <x:c r="H355" s="30" t="str">
        <x:v>n.a.</x:v>
      </x:c>
      <x:c r="I355" s="30" t="str">
        <x:f>IF(COUNT(B355,F355:H355)=4,B355+F355+G355-H355,"n.a.")</x:f>
        <x:v>n.a.</x:v>
      </x:c>
      <x:c r="J355" s="30" t="str">
        <x:v>n.a.</x:v>
      </x:c>
      <x:c r="K355" s="17"/>
      <x:c r="L355" s="17"/>
      <x:c r="M355" s="17"/>
      <x:c r="N355" s="17"/>
    </x:row>
    <x:row r="356" ht="21" customHeight="1">
      <x:c r="A356" s="27" t="d">
        <x:v>2026-06-16T00:00:00.000Z</x:v>
      </x:c>
      <x:c r="B356" s="22" t="n">
        <x:f>SUMIFS('Cash'!$C$5:$C$97,'Cash'!$A$5:$A$97,"&lt;="&amp;A356)</x:f>
        <x:v>208923</x:v>
      </x:c>
      <x:c r="C356" s="22" t="n">
        <x:f>SUMIFS('Cash'!$C$5:$C$97,'Cash'!$A$5:$A$97,A356)</x:f>
        <x:v>0</x:v>
      </x:c>
      <x:c r="D356" s="22" t="n">
        <x:f>SUMIFS('Cash'!$C$5:$C$97,'Cash'!$A$5:$A$97,"&lt;="&amp;A356,'Cash'!$B$5:$B$97,"EXTERNAL_FUNDING")</x:f>
        <x:v>65988779</x:v>
      </x:c>
      <x:c r="E356" s="22" t="n">
        <x:f>SUMIFS('Cash'!$C$5:$C$97,'Cash'!$A$5:$A$97,"&lt;="&amp;A356,'Cash'!$B$5:$B$97,"DIVIDEND_NET")</x:f>
        <x:v>346750</x:v>
      </x:c>
      <x:c r="F356" s="30" t="str">
        <x:v>n.a.</x:v>
      </x:c>
      <x:c r="G356" s="30" t="str">
        <x:v>n.a.</x:v>
      </x:c>
      <x:c r="H356" s="30" t="str">
        <x:v>n.a.</x:v>
      </x:c>
      <x:c r="I356" s="30" t="str">
        <x:f>IF(COUNT(B356,F356:H356)=4,B356+F356+G356-H356,"n.a.")</x:f>
        <x:v>n.a.</x:v>
      </x:c>
      <x:c r="J356" s="30" t="str">
        <x:v>n.a.</x:v>
      </x:c>
      <x:c r="K356" s="17"/>
      <x:c r="L356" s="17"/>
      <x:c r="M356" s="17"/>
      <x:c r="N356" s="17"/>
    </x:row>
    <x:row r="357" ht="21" customHeight="1">
      <x:c r="A357" s="27" t="d">
        <x:v>2026-06-17T00:00:00.000Z</x:v>
      </x:c>
      <x:c r="B357" s="22" t="n">
        <x:f>SUMIFS('Cash'!$C$5:$C$97,'Cash'!$A$5:$A$97,"&lt;="&amp;A357)</x:f>
        <x:v>208923</x:v>
      </x:c>
      <x:c r="C357" s="22" t="n">
        <x:f>SUMIFS('Cash'!$C$5:$C$97,'Cash'!$A$5:$A$97,A357)</x:f>
        <x:v>0</x:v>
      </x:c>
      <x:c r="D357" s="22" t="n">
        <x:f>SUMIFS('Cash'!$C$5:$C$97,'Cash'!$A$5:$A$97,"&lt;="&amp;A357,'Cash'!$B$5:$B$97,"EXTERNAL_FUNDING")</x:f>
        <x:v>65988779</x:v>
      </x:c>
      <x:c r="E357" s="22" t="n">
        <x:f>SUMIFS('Cash'!$C$5:$C$97,'Cash'!$A$5:$A$97,"&lt;="&amp;A357,'Cash'!$B$5:$B$97,"DIVIDEND_NET")</x:f>
        <x:v>346750</x:v>
      </x:c>
      <x:c r="F357" s="30" t="str">
        <x:v>n.a.</x:v>
      </x:c>
      <x:c r="G357" s="30" t="str">
        <x:v>n.a.</x:v>
      </x:c>
      <x:c r="H357" s="30" t="str">
        <x:v>n.a.</x:v>
      </x:c>
      <x:c r="I357" s="30" t="str">
        <x:f>IF(COUNT(B357,F357:H357)=4,B357+F357+G357-H357,"n.a.")</x:f>
        <x:v>n.a.</x:v>
      </x:c>
      <x:c r="J357" s="30" t="str">
        <x:v>n.a.</x:v>
      </x:c>
      <x:c r="K357" s="17"/>
      <x:c r="L357" s="17"/>
      <x:c r="M357" s="17"/>
      <x:c r="N357" s="17"/>
    </x:row>
    <x:row r="358" ht="21" customHeight="1">
      <x:c r="A358" s="27" t="d">
        <x:v>2026-06-18T00:00:00.000Z</x:v>
      </x:c>
      <x:c r="B358" s="22" t="n">
        <x:f>SUMIFS('Cash'!$C$5:$C$97,'Cash'!$A$5:$A$97,"&lt;="&amp;A358)</x:f>
        <x:v>208923</x:v>
      </x:c>
      <x:c r="C358" s="22" t="n">
        <x:f>SUMIFS('Cash'!$C$5:$C$97,'Cash'!$A$5:$A$97,A358)</x:f>
        <x:v>0</x:v>
      </x:c>
      <x:c r="D358" s="22" t="n">
        <x:f>SUMIFS('Cash'!$C$5:$C$97,'Cash'!$A$5:$A$97,"&lt;="&amp;A358,'Cash'!$B$5:$B$97,"EXTERNAL_FUNDING")</x:f>
        <x:v>65988779</x:v>
      </x:c>
      <x:c r="E358" s="22" t="n">
        <x:f>SUMIFS('Cash'!$C$5:$C$97,'Cash'!$A$5:$A$97,"&lt;="&amp;A358,'Cash'!$B$5:$B$97,"DIVIDEND_NET")</x:f>
        <x:v>346750</x:v>
      </x:c>
      <x:c r="F358" s="30" t="str">
        <x:v>n.a.</x:v>
      </x:c>
      <x:c r="G358" s="30" t="str">
        <x:v>n.a.</x:v>
      </x:c>
      <x:c r="H358" s="30" t="str">
        <x:v>n.a.</x:v>
      </x:c>
      <x:c r="I358" s="30" t="str">
        <x:f>IF(COUNT(B358,F358:H358)=4,B358+F358+G358-H358,"n.a.")</x:f>
        <x:v>n.a.</x:v>
      </x:c>
      <x:c r="J358" s="30" t="str">
        <x:v>n.a.</x:v>
      </x:c>
      <x:c r="K358" s="17"/>
      <x:c r="L358" s="17"/>
      <x:c r="M358" s="17"/>
      <x:c r="N358" s="17"/>
    </x:row>
    <x:row r="359" ht="21" customHeight="1">
      <x:c r="A359" s="27" t="d">
        <x:v>2026-06-19T00:00:00.000Z</x:v>
      </x:c>
      <x:c r="B359" s="22" t="n">
        <x:f>SUMIFS('Cash'!$C$5:$C$97,'Cash'!$A$5:$A$97,"&lt;="&amp;A359)</x:f>
        <x:v>208923</x:v>
      </x:c>
      <x:c r="C359" s="22" t="n">
        <x:f>SUMIFS('Cash'!$C$5:$C$97,'Cash'!$A$5:$A$97,A359)</x:f>
        <x:v>0</x:v>
      </x:c>
      <x:c r="D359" s="22" t="n">
        <x:f>SUMIFS('Cash'!$C$5:$C$97,'Cash'!$A$5:$A$97,"&lt;="&amp;A359,'Cash'!$B$5:$B$97,"EXTERNAL_FUNDING")</x:f>
        <x:v>65988779</x:v>
      </x:c>
      <x:c r="E359" s="22" t="n">
        <x:f>SUMIFS('Cash'!$C$5:$C$97,'Cash'!$A$5:$A$97,"&lt;="&amp;A359,'Cash'!$B$5:$B$97,"DIVIDEND_NET")</x:f>
        <x:v>346750</x:v>
      </x:c>
      <x:c r="F359" s="30" t="str">
        <x:v>n.a.</x:v>
      </x:c>
      <x:c r="G359" s="30" t="str">
        <x:v>n.a.</x:v>
      </x:c>
      <x:c r="H359" s="30" t="str">
        <x:v>n.a.</x:v>
      </x:c>
      <x:c r="I359" s="30" t="str">
        <x:f>IF(COUNT(B359,F359:H359)=4,B359+F359+G359-H359,"n.a.")</x:f>
        <x:v>n.a.</x:v>
      </x:c>
      <x:c r="J359" s="30" t="str">
        <x:v>n.a.</x:v>
      </x:c>
      <x:c r="K359" s="17"/>
      <x:c r="L359" s="17"/>
      <x:c r="M359" s="17"/>
      <x:c r="N359" s="17"/>
    </x:row>
    <x:row r="360" ht="21" customHeight="1">
      <x:c r="A360" s="27" t="d">
        <x:v>2026-06-20T00:00:00.000Z</x:v>
      </x:c>
      <x:c r="B360" s="22" t="n">
        <x:f>SUMIFS('Cash'!$C$5:$C$97,'Cash'!$A$5:$A$97,"&lt;="&amp;A360)</x:f>
        <x:v>208923</x:v>
      </x:c>
      <x:c r="C360" s="22" t="n">
        <x:f>SUMIFS('Cash'!$C$5:$C$97,'Cash'!$A$5:$A$97,A360)</x:f>
        <x:v>0</x:v>
      </x:c>
      <x:c r="D360" s="22" t="n">
        <x:f>SUMIFS('Cash'!$C$5:$C$97,'Cash'!$A$5:$A$97,"&lt;="&amp;A360,'Cash'!$B$5:$B$97,"EXTERNAL_FUNDING")</x:f>
        <x:v>65988779</x:v>
      </x:c>
      <x:c r="E360" s="22" t="n">
        <x:f>SUMIFS('Cash'!$C$5:$C$97,'Cash'!$A$5:$A$97,"&lt;="&amp;A360,'Cash'!$B$5:$B$97,"DIVIDEND_NET")</x:f>
        <x:v>346750</x:v>
      </x:c>
      <x:c r="F360" s="30" t="str">
        <x:v>n.a.</x:v>
      </x:c>
      <x:c r="G360" s="30" t="str">
        <x:v>n.a.</x:v>
      </x:c>
      <x:c r="H360" s="30" t="str">
        <x:v>n.a.</x:v>
      </x:c>
      <x:c r="I360" s="30" t="str">
        <x:f>IF(COUNT(B360,F360:H360)=4,B360+F360+G360-H360,"n.a.")</x:f>
        <x:v>n.a.</x:v>
      </x:c>
      <x:c r="J360" s="30" t="str">
        <x:v>n.a.</x:v>
      </x:c>
      <x:c r="K360" s="17"/>
      <x:c r="L360" s="17"/>
      <x:c r="M360" s="17"/>
      <x:c r="N360" s="17"/>
    </x:row>
    <x:row r="361" ht="21" customHeight="1">
      <x:c r="A361" s="27" t="d">
        <x:v>2026-06-21T00:00:00.000Z</x:v>
      </x:c>
      <x:c r="B361" s="22" t="n">
        <x:f>SUMIFS('Cash'!$C$5:$C$97,'Cash'!$A$5:$A$97,"&lt;="&amp;A361)</x:f>
        <x:v>208923</x:v>
      </x:c>
      <x:c r="C361" s="22" t="n">
        <x:f>SUMIFS('Cash'!$C$5:$C$97,'Cash'!$A$5:$A$97,A361)</x:f>
        <x:v>0</x:v>
      </x:c>
      <x:c r="D361" s="22" t="n">
        <x:f>SUMIFS('Cash'!$C$5:$C$97,'Cash'!$A$5:$A$97,"&lt;="&amp;A361,'Cash'!$B$5:$B$97,"EXTERNAL_FUNDING")</x:f>
        <x:v>65988779</x:v>
      </x:c>
      <x:c r="E361" s="22" t="n">
        <x:f>SUMIFS('Cash'!$C$5:$C$97,'Cash'!$A$5:$A$97,"&lt;="&amp;A361,'Cash'!$B$5:$B$97,"DIVIDEND_NET")</x:f>
        <x:v>346750</x:v>
      </x:c>
      <x:c r="F361" s="30" t="str">
        <x:v>n.a.</x:v>
      </x:c>
      <x:c r="G361" s="30" t="str">
        <x:v>n.a.</x:v>
      </x:c>
      <x:c r="H361" s="30" t="str">
        <x:v>n.a.</x:v>
      </x:c>
      <x:c r="I361" s="30" t="str">
        <x:f>IF(COUNT(B361,F361:H361)=4,B361+F361+G361-H361,"n.a.")</x:f>
        <x:v>n.a.</x:v>
      </x:c>
      <x:c r="J361" s="30" t="str">
        <x:v>n.a.</x:v>
      </x:c>
      <x:c r="K361" s="17"/>
      <x:c r="L361" s="17"/>
      <x:c r="M361" s="17"/>
      <x:c r="N361" s="17"/>
    </x:row>
    <x:row r="362" ht="21" customHeight="1">
      <x:c r="A362" s="27" t="d">
        <x:v>2026-06-22T00:00:00.000Z</x:v>
      </x:c>
      <x:c r="B362" s="22" t="n">
        <x:f>SUMIFS('Cash'!$C$5:$C$97,'Cash'!$A$5:$A$97,"&lt;="&amp;A362)</x:f>
        <x:v>208923</x:v>
      </x:c>
      <x:c r="C362" s="22" t="n">
        <x:f>SUMIFS('Cash'!$C$5:$C$97,'Cash'!$A$5:$A$97,A362)</x:f>
        <x:v>0</x:v>
      </x:c>
      <x:c r="D362" s="22" t="n">
        <x:f>SUMIFS('Cash'!$C$5:$C$97,'Cash'!$A$5:$A$97,"&lt;="&amp;A362,'Cash'!$B$5:$B$97,"EXTERNAL_FUNDING")</x:f>
        <x:v>65988779</x:v>
      </x:c>
      <x:c r="E362" s="22" t="n">
        <x:f>SUMIFS('Cash'!$C$5:$C$97,'Cash'!$A$5:$A$97,"&lt;="&amp;A362,'Cash'!$B$5:$B$97,"DIVIDEND_NET")</x:f>
        <x:v>346750</x:v>
      </x:c>
      <x:c r="F362" s="30" t="str">
        <x:v>n.a.</x:v>
      </x:c>
      <x:c r="G362" s="30" t="str">
        <x:v>n.a.</x:v>
      </x:c>
      <x:c r="H362" s="30" t="str">
        <x:v>n.a.</x:v>
      </x:c>
      <x:c r="I362" s="30" t="str">
        <x:f>IF(COUNT(B362,F362:H362)=4,B362+F362+G362-H362,"n.a.")</x:f>
        <x:v>n.a.</x:v>
      </x:c>
      <x:c r="J362" s="30" t="str">
        <x:v>n.a.</x:v>
      </x:c>
      <x:c r="K362" s="17"/>
      <x:c r="L362" s="17"/>
      <x:c r="M362" s="17"/>
      <x:c r="N362" s="17"/>
    </x:row>
    <x:row r="363" ht="21" customHeight="1">
      <x:c r="A363" s="27" t="d">
        <x:v>2026-06-23T00:00:00.000Z</x:v>
      </x:c>
      <x:c r="B363" s="22" t="n">
        <x:f>SUMIFS('Cash'!$C$5:$C$97,'Cash'!$A$5:$A$97,"&lt;="&amp;A363)</x:f>
        <x:v>208923</x:v>
      </x:c>
      <x:c r="C363" s="22" t="n">
        <x:f>SUMIFS('Cash'!$C$5:$C$97,'Cash'!$A$5:$A$97,A363)</x:f>
        <x:v>0</x:v>
      </x:c>
      <x:c r="D363" s="22" t="n">
        <x:f>SUMIFS('Cash'!$C$5:$C$97,'Cash'!$A$5:$A$97,"&lt;="&amp;A363,'Cash'!$B$5:$B$97,"EXTERNAL_FUNDING")</x:f>
        <x:v>65988779</x:v>
      </x:c>
      <x:c r="E363" s="22" t="n">
        <x:f>SUMIFS('Cash'!$C$5:$C$97,'Cash'!$A$5:$A$97,"&lt;="&amp;A363,'Cash'!$B$5:$B$97,"DIVIDEND_NET")</x:f>
        <x:v>346750</x:v>
      </x:c>
      <x:c r="F363" s="30" t="str">
        <x:v>n.a.</x:v>
      </x:c>
      <x:c r="G363" s="30" t="str">
        <x:v>n.a.</x:v>
      </x:c>
      <x:c r="H363" s="30" t="str">
        <x:v>n.a.</x:v>
      </x:c>
      <x:c r="I363" s="30" t="str">
        <x:f>IF(COUNT(B363,F363:H363)=4,B363+F363+G363-H363,"n.a.")</x:f>
        <x:v>n.a.</x:v>
      </x:c>
      <x:c r="J363" s="30" t="str">
        <x:v>n.a.</x:v>
      </x:c>
      <x:c r="K363" s="17"/>
      <x:c r="L363" s="17"/>
      <x:c r="M363" s="17"/>
      <x:c r="N363" s="17"/>
    </x:row>
    <x:row r="364" ht="21" customHeight="1">
      <x:c r="A364" s="27" t="d">
        <x:v>2026-06-24T00:00:00.000Z</x:v>
      </x:c>
      <x:c r="B364" s="22" t="n">
        <x:f>SUMIFS('Cash'!$C$5:$C$97,'Cash'!$A$5:$A$97,"&lt;="&amp;A364)</x:f>
        <x:v>208923</x:v>
      </x:c>
      <x:c r="C364" s="22" t="n">
        <x:f>SUMIFS('Cash'!$C$5:$C$97,'Cash'!$A$5:$A$97,A364)</x:f>
        <x:v>0</x:v>
      </x:c>
      <x:c r="D364" s="22" t="n">
        <x:f>SUMIFS('Cash'!$C$5:$C$97,'Cash'!$A$5:$A$97,"&lt;="&amp;A364,'Cash'!$B$5:$B$97,"EXTERNAL_FUNDING")</x:f>
        <x:v>65988779</x:v>
      </x:c>
      <x:c r="E364" s="22" t="n">
        <x:f>SUMIFS('Cash'!$C$5:$C$97,'Cash'!$A$5:$A$97,"&lt;="&amp;A364,'Cash'!$B$5:$B$97,"DIVIDEND_NET")</x:f>
        <x:v>346750</x:v>
      </x:c>
      <x:c r="F364" s="30" t="str">
        <x:v>n.a.</x:v>
      </x:c>
      <x:c r="G364" s="30" t="str">
        <x:v>n.a.</x:v>
      </x:c>
      <x:c r="H364" s="30" t="str">
        <x:v>n.a.</x:v>
      </x:c>
      <x:c r="I364" s="30" t="str">
        <x:f>IF(COUNT(B364,F364:H364)=4,B364+F364+G364-H364,"n.a.")</x:f>
        <x:v>n.a.</x:v>
      </x:c>
      <x:c r="J364" s="30" t="str">
        <x:v>n.a.</x:v>
      </x:c>
      <x:c r="K364" s="17"/>
      <x:c r="L364" s="17"/>
      <x:c r="M364" s="17"/>
      <x:c r="N364" s="17"/>
    </x:row>
    <x:row r="365" ht="21" customHeight="1">
      <x:c r="A365" s="27" t="d">
        <x:v>2026-06-25T00:00:00.000Z</x:v>
      </x:c>
      <x:c r="B365" s="22" t="n">
        <x:f>SUMIFS('Cash'!$C$5:$C$97,'Cash'!$A$5:$A$97,"&lt;="&amp;A365)</x:f>
        <x:v>208923</x:v>
      </x:c>
      <x:c r="C365" s="22" t="n">
        <x:f>SUMIFS('Cash'!$C$5:$C$97,'Cash'!$A$5:$A$97,A365)</x:f>
        <x:v>0</x:v>
      </x:c>
      <x:c r="D365" s="22" t="n">
        <x:f>SUMIFS('Cash'!$C$5:$C$97,'Cash'!$A$5:$A$97,"&lt;="&amp;A365,'Cash'!$B$5:$B$97,"EXTERNAL_FUNDING")</x:f>
        <x:v>65988779</x:v>
      </x:c>
      <x:c r="E365" s="22" t="n">
        <x:f>SUMIFS('Cash'!$C$5:$C$97,'Cash'!$A$5:$A$97,"&lt;="&amp;A365,'Cash'!$B$5:$B$97,"DIVIDEND_NET")</x:f>
        <x:v>346750</x:v>
      </x:c>
      <x:c r="F365" s="30" t="str">
        <x:v>n.a.</x:v>
      </x:c>
      <x:c r="G365" s="30" t="str">
        <x:v>n.a.</x:v>
      </x:c>
      <x:c r="H365" s="30" t="str">
        <x:v>n.a.</x:v>
      </x:c>
      <x:c r="I365" s="30" t="str">
        <x:f>IF(COUNT(B365,F365:H365)=4,B365+F365+G365-H365,"n.a.")</x:f>
        <x:v>n.a.</x:v>
      </x:c>
      <x:c r="J365" s="30" t="str">
        <x:v>n.a.</x:v>
      </x:c>
      <x:c r="K365" s="17"/>
      <x:c r="L365" s="17"/>
      <x:c r="M365" s="17"/>
      <x:c r="N365" s="17"/>
    </x:row>
    <x:row r="366" ht="21" customHeight="1">
      <x:c r="A366" s="27" t="d">
        <x:v>2026-06-26T00:00:00.000Z</x:v>
      </x:c>
      <x:c r="B366" s="22" t="n">
        <x:f>SUMIFS('Cash'!$C$5:$C$97,'Cash'!$A$5:$A$97,"&lt;="&amp;A366)</x:f>
        <x:v>208923</x:v>
      </x:c>
      <x:c r="C366" s="22" t="n">
        <x:f>SUMIFS('Cash'!$C$5:$C$97,'Cash'!$A$5:$A$97,A366)</x:f>
        <x:v>0</x:v>
      </x:c>
      <x:c r="D366" s="22" t="n">
        <x:f>SUMIFS('Cash'!$C$5:$C$97,'Cash'!$A$5:$A$97,"&lt;="&amp;A366,'Cash'!$B$5:$B$97,"EXTERNAL_FUNDING")</x:f>
        <x:v>65988779</x:v>
      </x:c>
      <x:c r="E366" s="22" t="n">
        <x:f>SUMIFS('Cash'!$C$5:$C$97,'Cash'!$A$5:$A$97,"&lt;="&amp;A366,'Cash'!$B$5:$B$97,"DIVIDEND_NET")</x:f>
        <x:v>346750</x:v>
      </x:c>
      <x:c r="F366" s="30" t="str">
        <x:v>n.a.</x:v>
      </x:c>
      <x:c r="G366" s="30" t="str">
        <x:v>n.a.</x:v>
      </x:c>
      <x:c r="H366" s="30" t="str">
        <x:v>n.a.</x:v>
      </x:c>
      <x:c r="I366" s="30" t="str">
        <x:f>IF(COUNT(B366,F366:H366)=4,B366+F366+G366-H366,"n.a.")</x:f>
        <x:v>n.a.</x:v>
      </x:c>
      <x:c r="J366" s="30" t="str">
        <x:v>n.a.</x:v>
      </x:c>
      <x:c r="K366" s="17"/>
      <x:c r="L366" s="17"/>
      <x:c r="M366" s="17"/>
      <x:c r="N366" s="17"/>
    </x:row>
    <x:row r="367" ht="21" customHeight="1">
      <x:c r="A367" s="27" t="d">
        <x:v>2026-06-27T00:00:00.000Z</x:v>
      </x:c>
      <x:c r="B367" s="22" t="n">
        <x:f>SUMIFS('Cash'!$C$5:$C$97,'Cash'!$A$5:$A$97,"&lt;="&amp;A367)</x:f>
        <x:v>208923</x:v>
      </x:c>
      <x:c r="C367" s="22" t="n">
        <x:f>SUMIFS('Cash'!$C$5:$C$97,'Cash'!$A$5:$A$97,A367)</x:f>
        <x:v>0</x:v>
      </x:c>
      <x:c r="D367" s="22" t="n">
        <x:f>SUMIFS('Cash'!$C$5:$C$97,'Cash'!$A$5:$A$97,"&lt;="&amp;A367,'Cash'!$B$5:$B$97,"EXTERNAL_FUNDING")</x:f>
        <x:v>65988779</x:v>
      </x:c>
      <x:c r="E367" s="22" t="n">
        <x:f>SUMIFS('Cash'!$C$5:$C$97,'Cash'!$A$5:$A$97,"&lt;="&amp;A367,'Cash'!$B$5:$B$97,"DIVIDEND_NET")</x:f>
        <x:v>346750</x:v>
      </x:c>
      <x:c r="F367" s="30" t="str">
        <x:v>n.a.</x:v>
      </x:c>
      <x:c r="G367" s="30" t="str">
        <x:v>n.a.</x:v>
      </x:c>
      <x:c r="H367" s="30" t="str">
        <x:v>n.a.</x:v>
      </x:c>
      <x:c r="I367" s="30" t="str">
        <x:f>IF(COUNT(B367,F367:H367)=4,B367+F367+G367-H367,"n.a.")</x:f>
        <x:v>n.a.</x:v>
      </x:c>
      <x:c r="J367" s="30" t="str">
        <x:v>n.a.</x:v>
      </x:c>
      <x:c r="K367" s="17"/>
      <x:c r="L367" s="17"/>
      <x:c r="M367" s="17"/>
      <x:c r="N367" s="17"/>
    </x:row>
    <x:row r="368" ht="21" customHeight="1">
      <x:c r="A368" s="27" t="d">
        <x:v>2026-06-28T00:00:00.000Z</x:v>
      </x:c>
      <x:c r="B368" s="22" t="n">
        <x:f>SUMIFS('Cash'!$C$5:$C$97,'Cash'!$A$5:$A$97,"&lt;="&amp;A368)</x:f>
        <x:v>208923</x:v>
      </x:c>
      <x:c r="C368" s="22" t="n">
        <x:f>SUMIFS('Cash'!$C$5:$C$97,'Cash'!$A$5:$A$97,A368)</x:f>
        <x:v>0</x:v>
      </x:c>
      <x:c r="D368" s="22" t="n">
        <x:f>SUMIFS('Cash'!$C$5:$C$97,'Cash'!$A$5:$A$97,"&lt;="&amp;A368,'Cash'!$B$5:$B$97,"EXTERNAL_FUNDING")</x:f>
        <x:v>65988779</x:v>
      </x:c>
      <x:c r="E368" s="22" t="n">
        <x:f>SUMIFS('Cash'!$C$5:$C$97,'Cash'!$A$5:$A$97,"&lt;="&amp;A368,'Cash'!$B$5:$B$97,"DIVIDEND_NET")</x:f>
        <x:v>346750</x:v>
      </x:c>
      <x:c r="F368" s="30" t="str">
        <x:v>n.a.</x:v>
      </x:c>
      <x:c r="G368" s="30" t="str">
        <x:v>n.a.</x:v>
      </x:c>
      <x:c r="H368" s="30" t="str">
        <x:v>n.a.</x:v>
      </x:c>
      <x:c r="I368" s="30" t="str">
        <x:f>IF(COUNT(B368,F368:H368)=4,B368+F368+G368-H368,"n.a.")</x:f>
        <x:v>n.a.</x:v>
      </x:c>
      <x:c r="J368" s="30" t="str">
        <x:v>n.a.</x:v>
      </x:c>
      <x:c r="K368" s="17"/>
      <x:c r="L368" s="17"/>
      <x:c r="M368" s="17"/>
      <x:c r="N368" s="17"/>
    </x:row>
    <x:row r="369" ht="21" customHeight="1">
      <x:c r="A369" s="27" t="d">
        <x:v>2026-06-29T00:00:00.000Z</x:v>
      </x:c>
      <x:c r="B369" s="22" t="n">
        <x:f>SUMIFS('Cash'!$C$5:$C$97,'Cash'!$A$5:$A$97,"&lt;="&amp;A369)</x:f>
        <x:v>208923</x:v>
      </x:c>
      <x:c r="C369" s="22" t="n">
        <x:f>SUMIFS('Cash'!$C$5:$C$97,'Cash'!$A$5:$A$97,A369)</x:f>
        <x:v>0</x:v>
      </x:c>
      <x:c r="D369" s="22" t="n">
        <x:f>SUMIFS('Cash'!$C$5:$C$97,'Cash'!$A$5:$A$97,"&lt;="&amp;A369,'Cash'!$B$5:$B$97,"EXTERNAL_FUNDING")</x:f>
        <x:v>65988779</x:v>
      </x:c>
      <x:c r="E369" s="22" t="n">
        <x:f>SUMIFS('Cash'!$C$5:$C$97,'Cash'!$A$5:$A$97,"&lt;="&amp;A369,'Cash'!$B$5:$B$97,"DIVIDEND_NET")</x:f>
        <x:v>346750</x:v>
      </x:c>
      <x:c r="F369" s="30" t="str">
        <x:v>n.a.</x:v>
      </x:c>
      <x:c r="G369" s="30" t="str">
        <x:v>n.a.</x:v>
      </x:c>
      <x:c r="H369" s="30" t="str">
        <x:v>n.a.</x:v>
      </x:c>
      <x:c r="I369" s="30" t="str">
        <x:f>IF(COUNT(B369,F369:H369)=4,B369+F369+G369-H369,"n.a.")</x:f>
        <x:v>n.a.</x:v>
      </x:c>
      <x:c r="J369" s="30" t="str">
        <x:v>n.a.</x:v>
      </x:c>
      <x:c r="K369" s="17"/>
      <x:c r="L369" s="17"/>
      <x:c r="M369" s="17"/>
      <x:c r="N369" s="17"/>
    </x:row>
    <x:row r="370" ht="21" customHeight="1">
      <x:c r="A370" s="27" t="d">
        <x:v>2026-06-30T00:00:00.000Z</x:v>
      </x:c>
      <x:c r="B370" s="22" t="n">
        <x:f>SUMIFS('Cash'!$C$5:$C$97,'Cash'!$A$5:$A$97,"&lt;="&amp;A370)</x:f>
        <x:v>208659</x:v>
      </x:c>
      <x:c r="C370" s="22" t="n">
        <x:f>SUMIFS('Cash'!$C$5:$C$97,'Cash'!$A$5:$A$97,A370)</x:f>
        <x:v>-264</x:v>
      </x:c>
      <x:c r="D370" s="22" t="n">
        <x:f>SUMIFS('Cash'!$C$5:$C$97,'Cash'!$A$5:$A$97,"&lt;="&amp;A370,'Cash'!$B$5:$B$97,"EXTERNAL_FUNDING")</x:f>
        <x:v>65988779</x:v>
      </x:c>
      <x:c r="E370" s="22" t="n">
        <x:f>SUMIFS('Cash'!$C$5:$C$97,'Cash'!$A$5:$A$97,"&lt;="&amp;A370,'Cash'!$B$5:$B$97,"DIVIDEND_NET")</x:f>
        <x:v>346750</x:v>
      </x:c>
      <x:c r="F370" s="30" t="str">
        <x:v>n.a.</x:v>
      </x:c>
      <x:c r="G370" s="30" t="str">
        <x:v>n.a.</x:v>
      </x:c>
      <x:c r="H370" s="30" t="str">
        <x:v>n.a.</x:v>
      </x:c>
      <x:c r="I370" s="30" t="str">
        <x:f>IF(COUNT(B370,F370:H370)=4,B370+F370+G370-H370,"n.a.")</x:f>
        <x:v>n.a.</x:v>
      </x:c>
      <x:c r="J370" s="30" t="str">
        <x:v>n.a.</x:v>
      </x:c>
      <x:c r="K370" s="17"/>
      <x:c r="L370" s="17"/>
      <x:c r="M370" s="17"/>
      <x:c r="N370" s="17"/>
    </x:row>
    <x:row r="371" ht="21" customHeight="1">
      <x:c r="A371" s="27" t="d">
        <x:v>2026-07-01T00:00:00.000Z</x:v>
      </x:c>
      <x:c r="B371" s="22" t="n">
        <x:f>SUMIFS('Cash'!$C$5:$C$97,'Cash'!$A$5:$A$97,"&lt;="&amp;A371)</x:f>
        <x:v>208659</x:v>
      </x:c>
      <x:c r="C371" s="22" t="n">
        <x:f>SUMIFS('Cash'!$C$5:$C$97,'Cash'!$A$5:$A$97,A371)</x:f>
        <x:v>0</x:v>
      </x:c>
      <x:c r="D371" s="22" t="n">
        <x:f>SUMIFS('Cash'!$C$5:$C$97,'Cash'!$A$5:$A$97,"&lt;="&amp;A371,'Cash'!$B$5:$B$97,"EXTERNAL_FUNDING")</x:f>
        <x:v>65988779</x:v>
      </x:c>
      <x:c r="E371" s="22" t="n">
        <x:f>SUMIFS('Cash'!$C$5:$C$97,'Cash'!$A$5:$A$97,"&lt;="&amp;A371,'Cash'!$B$5:$B$97,"DIVIDEND_NET")</x:f>
        <x:v>346750</x:v>
      </x:c>
      <x:c r="F371" s="30" t="str">
        <x:v>n.a.</x:v>
      </x:c>
      <x:c r="G371" s="30" t="str">
        <x:v>n.a.</x:v>
      </x:c>
      <x:c r="H371" s="30" t="str">
        <x:v>n.a.</x:v>
      </x:c>
      <x:c r="I371" s="30" t="str">
        <x:f>IF(COUNT(B371,F371:H371)=4,B371+F371+G371-H371,"n.a.")</x:f>
        <x:v>n.a.</x:v>
      </x:c>
      <x:c r="J371" s="30" t="str">
        <x:v>n.a.</x:v>
      </x:c>
      <x:c r="K371" s="17"/>
      <x:c r="L371" s="17"/>
      <x:c r="M371" s="17"/>
      <x:c r="N371" s="17"/>
    </x:row>
    <x:row r="372" ht="21" customHeight="1">
      <x:c r="A372" s="27" t="d">
        <x:v>2026-07-02T00:00:00.000Z</x:v>
      </x:c>
      <x:c r="B372" s="22" t="n">
        <x:f>SUMIFS('Cash'!$C$5:$C$97,'Cash'!$A$5:$A$97,"&lt;="&amp;A372)</x:f>
        <x:v>208659</x:v>
      </x:c>
      <x:c r="C372" s="22" t="n">
        <x:f>SUMIFS('Cash'!$C$5:$C$97,'Cash'!$A$5:$A$97,A372)</x:f>
        <x:v>0</x:v>
      </x:c>
      <x:c r="D372" s="22" t="n">
        <x:f>SUMIFS('Cash'!$C$5:$C$97,'Cash'!$A$5:$A$97,"&lt;="&amp;A372,'Cash'!$B$5:$B$97,"EXTERNAL_FUNDING")</x:f>
        <x:v>65988779</x:v>
      </x:c>
      <x:c r="E372" s="22" t="n">
        <x:f>SUMIFS('Cash'!$C$5:$C$97,'Cash'!$A$5:$A$97,"&lt;="&amp;A372,'Cash'!$B$5:$B$97,"DIVIDEND_NET")</x:f>
        <x:v>346750</x:v>
      </x:c>
      <x:c r="F372" s="30" t="str">
        <x:v>n.a.</x:v>
      </x:c>
      <x:c r="G372" s="30" t="str">
        <x:v>n.a.</x:v>
      </x:c>
      <x:c r="H372" s="30" t="str">
        <x:v>n.a.</x:v>
      </x:c>
      <x:c r="I372" s="30" t="str">
        <x:f>IF(COUNT(B372,F372:H372)=4,B372+F372+G372-H372,"n.a.")</x:f>
        <x:v>n.a.</x:v>
      </x:c>
      <x:c r="J372" s="30" t="str">
        <x:v>n.a.</x:v>
      </x:c>
      <x:c r="K372" s="17"/>
      <x:c r="L372" s="17"/>
      <x:c r="M372" s="17"/>
      <x:c r="N372" s="17"/>
    </x:row>
    <x:row r="373" ht="21" customHeight="1">
      <x:c r="A373" s="27" t="d">
        <x:v>2026-07-03T00:00:00.000Z</x:v>
      </x:c>
      <x:c r="B373" s="22" t="n">
        <x:f>SUMIFS('Cash'!$C$5:$C$97,'Cash'!$A$5:$A$97,"&lt;="&amp;A373)</x:f>
        <x:v>208659</x:v>
      </x:c>
      <x:c r="C373" s="22" t="n">
        <x:f>SUMIFS('Cash'!$C$5:$C$97,'Cash'!$A$5:$A$97,A373)</x:f>
        <x:v>0</x:v>
      </x:c>
      <x:c r="D373" s="22" t="n">
        <x:f>SUMIFS('Cash'!$C$5:$C$97,'Cash'!$A$5:$A$97,"&lt;="&amp;A373,'Cash'!$B$5:$B$97,"EXTERNAL_FUNDING")</x:f>
        <x:v>65988779</x:v>
      </x:c>
      <x:c r="E373" s="22" t="n">
        <x:f>SUMIFS('Cash'!$C$5:$C$97,'Cash'!$A$5:$A$97,"&lt;="&amp;A373,'Cash'!$B$5:$B$97,"DIVIDEND_NET")</x:f>
        <x:v>346750</x:v>
      </x:c>
      <x:c r="F373" s="30" t="str">
        <x:v>n.a.</x:v>
      </x:c>
      <x:c r="G373" s="30" t="str">
        <x:v>n.a.</x:v>
      </x:c>
      <x:c r="H373" s="30" t="str">
        <x:v>n.a.</x:v>
      </x:c>
      <x:c r="I373" s="30" t="str">
        <x:f>IF(COUNT(B373,F373:H373)=4,B373+F373+G373-H373,"n.a.")</x:f>
        <x:v>n.a.</x:v>
      </x:c>
      <x:c r="J373" s="30" t="str">
        <x:v>n.a.</x:v>
      </x:c>
      <x:c r="K373" s="17"/>
      <x:c r="L373" s="17"/>
      <x:c r="M373" s="17"/>
      <x:c r="N373" s="17"/>
    </x:row>
    <x:row r="374" ht="21" customHeight="1">
      <x:c r="A374" s="27" t="d">
        <x:v>2026-07-04T00:00:00.000Z</x:v>
      </x:c>
      <x:c r="B374" s="22" t="n">
        <x:f>SUMIFS('Cash'!$C$5:$C$97,'Cash'!$A$5:$A$97,"&lt;="&amp;A374)</x:f>
        <x:v>208659</x:v>
      </x:c>
      <x:c r="C374" s="22" t="n">
        <x:f>SUMIFS('Cash'!$C$5:$C$97,'Cash'!$A$5:$A$97,A374)</x:f>
        <x:v>0</x:v>
      </x:c>
      <x:c r="D374" s="22" t="n">
        <x:f>SUMIFS('Cash'!$C$5:$C$97,'Cash'!$A$5:$A$97,"&lt;="&amp;A374,'Cash'!$B$5:$B$97,"EXTERNAL_FUNDING")</x:f>
        <x:v>65988779</x:v>
      </x:c>
      <x:c r="E374" s="22" t="n">
        <x:f>SUMIFS('Cash'!$C$5:$C$97,'Cash'!$A$5:$A$97,"&lt;="&amp;A374,'Cash'!$B$5:$B$97,"DIVIDEND_NET")</x:f>
        <x:v>346750</x:v>
      </x:c>
      <x:c r="F374" s="30" t="str">
        <x:v>n.a.</x:v>
      </x:c>
      <x:c r="G374" s="30" t="str">
        <x:v>n.a.</x:v>
      </x:c>
      <x:c r="H374" s="30" t="str">
        <x:v>n.a.</x:v>
      </x:c>
      <x:c r="I374" s="30" t="str">
        <x:f>IF(COUNT(B374,F374:H374)=4,B374+F374+G374-H374,"n.a.")</x:f>
        <x:v>n.a.</x:v>
      </x:c>
      <x:c r="J374" s="30" t="str">
        <x:v>n.a.</x:v>
      </x:c>
      <x:c r="K374" s="17"/>
      <x:c r="L374" s="17"/>
      <x:c r="M374" s="17"/>
      <x:c r="N374" s="17"/>
    </x:row>
    <x:row r="375" ht="21" customHeight="1">
      <x:c r="A375" s="27" t="d">
        <x:v>2026-07-05T00:00:00.000Z</x:v>
      </x:c>
      <x:c r="B375" s="22" t="n">
        <x:f>SUMIFS('Cash'!$C$5:$C$97,'Cash'!$A$5:$A$97,"&lt;="&amp;A375)</x:f>
        <x:v>208659</x:v>
      </x:c>
      <x:c r="C375" s="22" t="n">
        <x:f>SUMIFS('Cash'!$C$5:$C$97,'Cash'!$A$5:$A$97,A375)</x:f>
        <x:v>0</x:v>
      </x:c>
      <x:c r="D375" s="22" t="n">
        <x:f>SUMIFS('Cash'!$C$5:$C$97,'Cash'!$A$5:$A$97,"&lt;="&amp;A375,'Cash'!$B$5:$B$97,"EXTERNAL_FUNDING")</x:f>
        <x:v>65988779</x:v>
      </x:c>
      <x:c r="E375" s="22" t="n">
        <x:f>SUMIFS('Cash'!$C$5:$C$97,'Cash'!$A$5:$A$97,"&lt;="&amp;A375,'Cash'!$B$5:$B$97,"DIVIDEND_NET")</x:f>
        <x:v>346750</x:v>
      </x:c>
      <x:c r="F375" s="30" t="str">
        <x:v>n.a.</x:v>
      </x:c>
      <x:c r="G375" s="30" t="str">
        <x:v>n.a.</x:v>
      </x:c>
      <x:c r="H375" s="30" t="str">
        <x:v>n.a.</x:v>
      </x:c>
      <x:c r="I375" s="30" t="str">
        <x:f>IF(COUNT(B375,F375:H375)=4,B375+F375+G375-H375,"n.a.")</x:f>
        <x:v>n.a.</x:v>
      </x:c>
      <x:c r="J375" s="30" t="str">
        <x:v>n.a.</x:v>
      </x:c>
      <x:c r="K375" s="17"/>
      <x:c r="L375" s="17"/>
      <x:c r="M375" s="17"/>
      <x:c r="N375" s="17"/>
    </x:row>
    <x:row r="376" ht="21" customHeight="1">
      <x:c r="A376" s="27" t="d">
        <x:v>2026-07-06T00:00:00.000Z</x:v>
      </x:c>
      <x:c r="B376" s="22" t="n">
        <x:f>SUMIFS('Cash'!$C$5:$C$97,'Cash'!$A$5:$A$97,"&lt;="&amp;A376)</x:f>
        <x:v>208659</x:v>
      </x:c>
      <x:c r="C376" s="22" t="n">
        <x:f>SUMIFS('Cash'!$C$5:$C$97,'Cash'!$A$5:$A$97,A376)</x:f>
        <x:v>0</x:v>
      </x:c>
      <x:c r="D376" s="22" t="n">
        <x:f>SUMIFS('Cash'!$C$5:$C$97,'Cash'!$A$5:$A$97,"&lt;="&amp;A376,'Cash'!$B$5:$B$97,"EXTERNAL_FUNDING")</x:f>
        <x:v>65988779</x:v>
      </x:c>
      <x:c r="E376" s="22" t="n">
        <x:f>SUMIFS('Cash'!$C$5:$C$97,'Cash'!$A$5:$A$97,"&lt;="&amp;A376,'Cash'!$B$5:$B$97,"DIVIDEND_NET")</x:f>
        <x:v>346750</x:v>
      </x:c>
      <x:c r="F376" s="30" t="str">
        <x:v>n.a.</x:v>
      </x:c>
      <x:c r="G376" s="30" t="str">
        <x:v>n.a.</x:v>
      </x:c>
      <x:c r="H376" s="30" t="str">
        <x:v>n.a.</x:v>
      </x:c>
      <x:c r="I376" s="30" t="str">
        <x:f>IF(COUNT(B376,F376:H376)=4,B376+F376+G376-H376,"n.a.")</x:f>
        <x:v>n.a.</x:v>
      </x:c>
      <x:c r="J376" s="30" t="str">
        <x:v>n.a.</x:v>
      </x:c>
      <x:c r="K376" s="17"/>
      <x:c r="L376" s="17"/>
      <x:c r="M376" s="17"/>
      <x:c r="N376" s="17"/>
    </x:row>
    <x:row r="377" ht="21" customHeight="1">
      <x:c r="A377" s="27" t="d">
        <x:v>2026-07-07T00:00:00.000Z</x:v>
      </x:c>
      <x:c r="B377" s="22" t="n">
        <x:f>SUMIFS('Cash'!$C$5:$C$97,'Cash'!$A$5:$A$97,"&lt;="&amp;A377)</x:f>
        <x:v>208659</x:v>
      </x:c>
      <x:c r="C377" s="22" t="n">
        <x:f>SUMIFS('Cash'!$C$5:$C$97,'Cash'!$A$5:$A$97,A377)</x:f>
        <x:v>0</x:v>
      </x:c>
      <x:c r="D377" s="22" t="n">
        <x:f>SUMIFS('Cash'!$C$5:$C$97,'Cash'!$A$5:$A$97,"&lt;="&amp;A377,'Cash'!$B$5:$B$97,"EXTERNAL_FUNDING")</x:f>
        <x:v>65988779</x:v>
      </x:c>
      <x:c r="E377" s="22" t="n">
        <x:f>SUMIFS('Cash'!$C$5:$C$97,'Cash'!$A$5:$A$97,"&lt;="&amp;A377,'Cash'!$B$5:$B$97,"DIVIDEND_NET")</x:f>
        <x:v>346750</x:v>
      </x:c>
      <x:c r="F377" s="30" t="str">
        <x:v>n.a.</x:v>
      </x:c>
      <x:c r="G377" s="30" t="str">
        <x:v>n.a.</x:v>
      </x:c>
      <x:c r="H377" s="30" t="str">
        <x:v>n.a.</x:v>
      </x:c>
      <x:c r="I377" s="30" t="str">
        <x:f>IF(COUNT(B377,F377:H377)=4,B377+F377+G377-H377,"n.a.")</x:f>
        <x:v>n.a.</x:v>
      </x:c>
      <x:c r="J377" s="30" t="str">
        <x:v>n.a.</x:v>
      </x:c>
      <x:c r="K377" s="17"/>
      <x:c r="L377" s="17"/>
      <x:c r="M377" s="17"/>
      <x:c r="N377" s="17"/>
    </x:row>
    <x:row r="378" ht="21" customHeight="1">
      <x:c r="A378" s="27" t="d">
        <x:v>2026-07-08T00:00:00.000Z</x:v>
      </x:c>
      <x:c r="B378" s="22" t="n">
        <x:f>SUMIFS('Cash'!$C$5:$C$97,'Cash'!$A$5:$A$97,"&lt;="&amp;A378)</x:f>
        <x:v>208659</x:v>
      </x:c>
      <x:c r="C378" s="22" t="n">
        <x:f>SUMIFS('Cash'!$C$5:$C$97,'Cash'!$A$5:$A$97,A378)</x:f>
        <x:v>0</x:v>
      </x:c>
      <x:c r="D378" s="22" t="n">
        <x:f>SUMIFS('Cash'!$C$5:$C$97,'Cash'!$A$5:$A$97,"&lt;="&amp;A378,'Cash'!$B$5:$B$97,"EXTERNAL_FUNDING")</x:f>
        <x:v>65988779</x:v>
      </x:c>
      <x:c r="E378" s="22" t="n">
        <x:f>SUMIFS('Cash'!$C$5:$C$97,'Cash'!$A$5:$A$97,"&lt;="&amp;A378,'Cash'!$B$5:$B$97,"DIVIDEND_NET")</x:f>
        <x:v>346750</x:v>
      </x:c>
      <x:c r="F378" s="30" t="str">
        <x:v>n.a.</x:v>
      </x:c>
      <x:c r="G378" s="30" t="str">
        <x:v>n.a.</x:v>
      </x:c>
      <x:c r="H378" s="30" t="str">
        <x:v>n.a.</x:v>
      </x:c>
      <x:c r="I378" s="30" t="str">
        <x:f>IF(COUNT(B378,F378:H378)=4,B378+F378+G378-H378,"n.a.")</x:f>
        <x:v>n.a.</x:v>
      </x:c>
      <x:c r="J378" s="30" t="str">
        <x:v>n.a.</x:v>
      </x:c>
      <x:c r="K378" s="17"/>
      <x:c r="L378" s="17"/>
      <x:c r="M378" s="17"/>
      <x:c r="N378" s="17"/>
    </x:row>
    <x:row r="379" ht="21" customHeight="1">
      <x:c r="A379" s="27" t="d">
        <x:v>2026-07-09T00:00:00.000Z</x:v>
      </x:c>
      <x:c r="B379" s="22" t="n">
        <x:f>SUMIFS('Cash'!$C$5:$C$97,'Cash'!$A$5:$A$97,"&lt;="&amp;A379)</x:f>
        <x:v>88</x:v>
      </x:c>
      <x:c r="C379" s="22" t="n">
        <x:f>SUMIFS('Cash'!$C$5:$C$97,'Cash'!$A$5:$A$97,A379)</x:f>
        <x:v>-208571</x:v>
      </x:c>
      <x:c r="D379" s="22" t="n">
        <x:f>SUMIFS('Cash'!$C$5:$C$97,'Cash'!$A$5:$A$97,"&lt;="&amp;A379,'Cash'!$B$5:$B$97,"EXTERNAL_FUNDING")</x:f>
        <x:v>74012677</x:v>
      </x:c>
      <x:c r="E379" s="22" t="n">
        <x:f>SUMIFS('Cash'!$C$5:$C$97,'Cash'!$A$5:$A$97,"&lt;="&amp;A379,'Cash'!$B$5:$B$97,"DIVIDEND_NET")</x:f>
        <x:v>346750</x:v>
      </x:c>
      <x:c r="F379" s="30" t="str">
        <x:v>n.a.</x:v>
      </x:c>
      <x:c r="G379" s="30" t="str">
        <x:v>n.a.</x:v>
      </x:c>
      <x:c r="H379" s="30" t="str">
        <x:v>n.a.</x:v>
      </x:c>
      <x:c r="I379" s="30" t="str">
        <x:f>IF(COUNT(B379,F379:H379)=4,B379+F379+G379-H379,"n.a.")</x:f>
        <x:v>n.a.</x:v>
      </x:c>
      <x:c r="J379" s="30" t="str">
        <x:v>n.a.</x:v>
      </x:c>
      <x:c r="K379" s="17"/>
      <x:c r="L379" s="17"/>
      <x:c r="M379" s="17"/>
      <x:c r="N379" s="17"/>
    </x:row>
    <x:row r="380" ht="21" customHeight="1">
      <x:c r="A380" s="27" t="d">
        <x:v>2026-07-10T00:00:00.000Z</x:v>
      </x:c>
      <x:c r="B380" s="22" t="n">
        <x:f>SUMIFS('Cash'!$C$5:$C$97,'Cash'!$A$5:$A$97,"&lt;="&amp;A380)</x:f>
        <x:v>88</x:v>
      </x:c>
      <x:c r="C380" s="22" t="n">
        <x:f>SUMIFS('Cash'!$C$5:$C$97,'Cash'!$A$5:$A$97,A380)</x:f>
        <x:v>0</x:v>
      </x:c>
      <x:c r="D380" s="22" t="n">
        <x:f>SUMIFS('Cash'!$C$5:$C$97,'Cash'!$A$5:$A$97,"&lt;="&amp;A380,'Cash'!$B$5:$B$97,"EXTERNAL_FUNDING")</x:f>
        <x:v>74012677</x:v>
      </x:c>
      <x:c r="E380" s="22" t="n">
        <x:f>SUMIFS('Cash'!$C$5:$C$97,'Cash'!$A$5:$A$97,"&lt;="&amp;A380,'Cash'!$B$5:$B$97,"DIVIDEND_NET")</x:f>
        <x:v>346750</x:v>
      </x:c>
      <x:c r="F380" s="30" t="str">
        <x:v>n.a.</x:v>
      </x:c>
      <x:c r="G380" s="30" t="str">
        <x:v>n.a.</x:v>
      </x:c>
      <x:c r="H380" s="30" t="str">
        <x:v>n.a.</x:v>
      </x:c>
      <x:c r="I380" s="30" t="str">
        <x:f>IF(COUNT(B380,F380:H380)=4,B380+F380+G380-H380,"n.a.")</x:f>
        <x:v>n.a.</x:v>
      </x:c>
      <x:c r="J380" s="30" t="str">
        <x:v>n.a.</x:v>
      </x:c>
      <x:c r="K380" s="17"/>
      <x:c r="L380" s="17"/>
      <x:c r="M380" s="17"/>
      <x:c r="N380" s="17"/>
    </x:row>
    <x:row r="381" ht="21" customHeight="1">
      <x:c r="A381" s="27" t="d">
        <x:v>2026-07-11T00:00:00.000Z</x:v>
      </x:c>
      <x:c r="B381" s="22" t="n">
        <x:f>SUMIFS('Cash'!$C$5:$C$97,'Cash'!$A$5:$A$97,"&lt;="&amp;A381)</x:f>
        <x:v>88</x:v>
      </x:c>
      <x:c r="C381" s="22" t="n">
        <x:f>SUMIFS('Cash'!$C$5:$C$97,'Cash'!$A$5:$A$97,A381)</x:f>
        <x:v>0</x:v>
      </x:c>
      <x:c r="D381" s="22" t="n">
        <x:f>SUMIFS('Cash'!$C$5:$C$97,'Cash'!$A$5:$A$97,"&lt;="&amp;A381,'Cash'!$B$5:$B$97,"EXTERNAL_FUNDING")</x:f>
        <x:v>74012677</x:v>
      </x:c>
      <x:c r="E381" s="22" t="n">
        <x:f>SUMIFS('Cash'!$C$5:$C$97,'Cash'!$A$5:$A$97,"&lt;="&amp;A381,'Cash'!$B$5:$B$97,"DIVIDEND_NET")</x:f>
        <x:v>346750</x:v>
      </x:c>
      <x:c r="F381" s="30" t="str">
        <x:v>n.a.</x:v>
      </x:c>
      <x:c r="G381" s="30" t="str">
        <x:v>n.a.</x:v>
      </x:c>
      <x:c r="H381" s="30" t="str">
        <x:v>n.a.</x:v>
      </x:c>
      <x:c r="I381" s="30" t="str">
        <x:f>IF(COUNT(B381,F381:H381)=4,B381+F381+G381-H381,"n.a.")</x:f>
        <x:v>n.a.</x:v>
      </x:c>
      <x:c r="J381" s="30" t="str">
        <x:v>n.a.</x:v>
      </x:c>
      <x:c r="K381" s="17"/>
      <x:c r="L381" s="17"/>
      <x:c r="M381" s="17"/>
      <x:c r="N381" s="17"/>
    </x:row>
    <x:row r="382" ht="21" customHeight="1">
      <x:c r="A382" s="27" t="d">
        <x:v>2026-07-12T00:00:00.000Z</x:v>
      </x:c>
      <x:c r="B382" s="22" t="n">
        <x:f>SUMIFS('Cash'!$C$5:$C$97,'Cash'!$A$5:$A$97,"&lt;="&amp;A382)</x:f>
        <x:v>88</x:v>
      </x:c>
      <x:c r="C382" s="22" t="n">
        <x:f>SUMIFS('Cash'!$C$5:$C$97,'Cash'!$A$5:$A$97,A382)</x:f>
        <x:v>0</x:v>
      </x:c>
      <x:c r="D382" s="22" t="n">
        <x:f>SUMIFS('Cash'!$C$5:$C$97,'Cash'!$A$5:$A$97,"&lt;="&amp;A382,'Cash'!$B$5:$B$97,"EXTERNAL_FUNDING")</x:f>
        <x:v>74012677</x:v>
      </x:c>
      <x:c r="E382" s="22" t="n">
        <x:f>SUMIFS('Cash'!$C$5:$C$97,'Cash'!$A$5:$A$97,"&lt;="&amp;A382,'Cash'!$B$5:$B$97,"DIVIDEND_NET")</x:f>
        <x:v>346750</x:v>
      </x:c>
      <x:c r="F382" s="30" t="str">
        <x:v>n.a.</x:v>
      </x:c>
      <x:c r="G382" s="30" t="str">
        <x:v>n.a.</x:v>
      </x:c>
      <x:c r="H382" s="30" t="str">
        <x:v>n.a.</x:v>
      </x:c>
      <x:c r="I382" s="30" t="str">
        <x:f>IF(COUNT(B382,F382:H382)=4,B382+F382+G382-H382,"n.a.")</x:f>
        <x:v>n.a.</x:v>
      </x:c>
      <x:c r="J382" s="30" t="str">
        <x:v>n.a.</x:v>
      </x:c>
      <x:c r="K382" s="17"/>
      <x:c r="L382" s="17"/>
      <x:c r="M382" s="17"/>
      <x:c r="N382" s="17"/>
    </x:row>
    <x:row r="383" ht="21" customHeight="1">
      <x:c r="A383" s="27" t="d">
        <x:v>2026-07-13T00:00:00.000Z</x:v>
      </x:c>
      <x:c r="B383" s="22" t="n">
        <x:f>SUMIFS('Cash'!$C$5:$C$97,'Cash'!$A$5:$A$97,"&lt;="&amp;A383)</x:f>
        <x:v>132</x:v>
      </x:c>
      <x:c r="C383" s="22" t="n">
        <x:f>SUMIFS('Cash'!$C$5:$C$97,'Cash'!$A$5:$A$97,A383)</x:f>
        <x:v>44</x:v>
      </x:c>
      <x:c r="D383" s="22" t="n">
        <x:f>SUMIFS('Cash'!$C$5:$C$97,'Cash'!$A$5:$A$97,"&lt;="&amp;A383,'Cash'!$B$5:$B$97,"EXTERNAL_FUNDING")</x:f>
        <x:v>74012721</x:v>
      </x:c>
      <x:c r="E383" s="22" t="n">
        <x:f>SUMIFS('Cash'!$C$5:$C$97,'Cash'!$A$5:$A$97,"&lt;="&amp;A383,'Cash'!$B$5:$B$97,"DIVIDEND_NET")</x:f>
        <x:v>346750</x:v>
      </x:c>
      <x:c r="F383" s="30" t="str">
        <x:v>n.a.</x:v>
      </x:c>
      <x:c r="G383" s="30" t="str">
        <x:v>n.a.</x:v>
      </x:c>
      <x:c r="H383" s="30" t="str">
        <x:v>n.a.</x:v>
      </x:c>
      <x:c r="I383" s="30" t="str">
        <x:f>IF(COUNT(B383,F383:H383)=4,B383+F383+G383-H383,"n.a.")</x:f>
        <x:v>n.a.</x:v>
      </x:c>
      <x:c r="J383" s="30" t="str">
        <x:v>n.a.</x:v>
      </x:c>
      <x:c r="K383" s="17"/>
      <x:c r="L383" s="17"/>
      <x:c r="M383" s="17"/>
      <x:c r="N383" s="17"/>
    </x:row>
    <x:row r="384" ht="21" customHeight="1">
      <x:c r="A384" s="27" t="d">
        <x:v>2026-07-14T00:00:00.000Z</x:v>
      </x:c>
      <x:c r="B384" s="22" t="n">
        <x:f>SUMIFS('Cash'!$C$5:$C$97,'Cash'!$A$5:$A$97,"&lt;="&amp;A384)</x:f>
        <x:v>132</x:v>
      </x:c>
      <x:c r="C384" s="22" t="n">
        <x:f>SUMIFS('Cash'!$C$5:$C$97,'Cash'!$A$5:$A$97,A384)</x:f>
        <x:v>0</x:v>
      </x:c>
      <x:c r="D384" s="22" t="n">
        <x:f>SUMIFS('Cash'!$C$5:$C$97,'Cash'!$A$5:$A$97,"&lt;="&amp;A384,'Cash'!$B$5:$B$97,"EXTERNAL_FUNDING")</x:f>
        <x:v>74012721</x:v>
      </x:c>
      <x:c r="E384" s="22" t="n">
        <x:f>SUMIFS('Cash'!$C$5:$C$97,'Cash'!$A$5:$A$97,"&lt;="&amp;A384,'Cash'!$B$5:$B$97,"DIVIDEND_NET")</x:f>
        <x:v>346750</x:v>
      </x:c>
      <x:c r="F384" s="30" t="str">
        <x:v>n.a.</x:v>
      </x:c>
      <x:c r="G384" s="30" t="str">
        <x:v>n.a.</x:v>
      </x:c>
      <x:c r="H384" s="30" t="str">
        <x:v>n.a.</x:v>
      </x:c>
      <x:c r="I384" s="30" t="str">
        <x:f>IF(COUNT(B384,F384:H384)=4,B384+F384+G384-H384,"n.a.")</x:f>
        <x:v>n.a.</x:v>
      </x:c>
      <x:c r="J384" s="30" t="str">
        <x:v>n.a.</x:v>
      </x:c>
      <x:c r="K384" s="17"/>
      <x:c r="L384" s="17"/>
      <x:c r="M384" s="17"/>
      <x:c r="N384" s="17"/>
    </x:row>
    <x:row r="385" ht="21" customHeight="1">
      <x:c r="A385" s="27" t="d">
        <x:v>2026-07-15T00:00:00.000Z</x:v>
      </x:c>
      <x:c r="B385" s="22" t="n">
        <x:f>SUMIFS('Cash'!$C$5:$C$97,'Cash'!$A$5:$A$97,"&lt;="&amp;A385)</x:f>
        <x:v>132</x:v>
      </x:c>
      <x:c r="C385" s="22" t="n">
        <x:f>SUMIFS('Cash'!$C$5:$C$97,'Cash'!$A$5:$A$97,A385)</x:f>
        <x:v>0</x:v>
      </x:c>
      <x:c r="D385" s="22" t="n">
        <x:f>SUMIFS('Cash'!$C$5:$C$97,'Cash'!$A$5:$A$97,"&lt;="&amp;A385,'Cash'!$B$5:$B$97,"EXTERNAL_FUNDING")</x:f>
        <x:v>74012721</x:v>
      </x:c>
      <x:c r="E385" s="22" t="n">
        <x:f>SUMIFS('Cash'!$C$5:$C$97,'Cash'!$A$5:$A$97,"&lt;="&amp;A385,'Cash'!$B$5:$B$97,"DIVIDEND_NET")</x:f>
        <x:v>346750</x:v>
      </x:c>
      <x:c r="F385" s="30" t="str">
        <x:v>n.a.</x:v>
      </x:c>
      <x:c r="G385" s="30" t="str">
        <x:v>n.a.</x:v>
      </x:c>
      <x:c r="H385" s="30" t="str">
        <x:v>n.a.</x:v>
      </x:c>
      <x:c r="I385" s="30" t="str">
        <x:f>IF(COUNT(B385,F385:H385)=4,B385+F385+G385-H385,"n.a.")</x:f>
        <x:v>n.a.</x:v>
      </x:c>
      <x:c r="J385" s="30" t="str">
        <x:v>n.a.</x:v>
      </x:c>
      <x:c r="K385" s="17"/>
      <x:c r="L385" s="17"/>
      <x:c r="M385" s="17"/>
      <x:c r="N385" s="17"/>
    </x:row>
    <x:row r="386" ht="21" customHeight="1">
      <x:c r="A386" s="27" t="d">
        <x:v>2026-07-16T00:00:00.000Z</x:v>
      </x:c>
      <x:c r="B386" s="22" t="n">
        <x:f>SUMIFS('Cash'!$C$5:$C$97,'Cash'!$A$5:$A$97,"&lt;="&amp;A386)</x:f>
        <x:v>132</x:v>
      </x:c>
      <x:c r="C386" s="22" t="n">
        <x:f>SUMIFS('Cash'!$C$5:$C$97,'Cash'!$A$5:$A$97,A386)</x:f>
        <x:v>0</x:v>
      </x:c>
      <x:c r="D386" s="22" t="n">
        <x:f>SUMIFS('Cash'!$C$5:$C$97,'Cash'!$A$5:$A$97,"&lt;="&amp;A386,'Cash'!$B$5:$B$97,"EXTERNAL_FUNDING")</x:f>
        <x:v>74012721</x:v>
      </x:c>
      <x:c r="E386" s="22" t="n">
        <x:f>SUMIFS('Cash'!$C$5:$C$97,'Cash'!$A$5:$A$97,"&lt;="&amp;A386,'Cash'!$B$5:$B$97,"DIVIDEND_NET")</x:f>
        <x:v>346750</x:v>
      </x:c>
      <x:c r="F386" s="30" t="str">
        <x:v>n.a.</x:v>
      </x:c>
      <x:c r="G386" s="30" t="str">
        <x:v>n.a.</x:v>
      </x:c>
      <x:c r="H386" s="30" t="str">
        <x:v>n.a.</x:v>
      </x:c>
      <x:c r="I386" s="30" t="str">
        <x:f>IF(COUNT(B386,F386:H386)=4,B386+F386+G386-H386,"n.a.")</x:f>
        <x:v>n.a.</x:v>
      </x:c>
      <x:c r="J386" s="30" t="str">
        <x:v>n.a.</x:v>
      </x:c>
      <x:c r="K386" s="17"/>
      <x:c r="L386" s="17"/>
      <x:c r="M386" s="17"/>
      <x:c r="N386" s="17"/>
    </x:row>
    <x:row r="387" ht="21" customHeight="1">
      <x:c r="A387" s="27" t="d">
        <x:v>2026-07-17T00:00:00.000Z</x:v>
      </x:c>
      <x:c r="B387" s="22" t="n">
        <x:f>SUMIFS('Cash'!$C$5:$C$97,'Cash'!$A$5:$A$97,"&lt;="&amp;A387)</x:f>
        <x:v>132</x:v>
      </x:c>
      <x:c r="C387" s="22" t="n">
        <x:f>SUMIFS('Cash'!$C$5:$C$97,'Cash'!$A$5:$A$97,A387)</x:f>
        <x:v>0</x:v>
      </x:c>
      <x:c r="D387" s="22" t="n">
        <x:f>SUMIFS('Cash'!$C$5:$C$97,'Cash'!$A$5:$A$97,"&lt;="&amp;A387,'Cash'!$B$5:$B$97,"EXTERNAL_FUNDING")</x:f>
        <x:v>74012721</x:v>
      </x:c>
      <x:c r="E387" s="22" t="n">
        <x:f>SUMIFS('Cash'!$C$5:$C$97,'Cash'!$A$5:$A$97,"&lt;="&amp;A387,'Cash'!$B$5:$B$97,"DIVIDEND_NET")</x:f>
        <x:v>346750</x:v>
      </x:c>
      <x:c r="F387" s="30" t="str">
        <x:v>n.a.</x:v>
      </x:c>
      <x:c r="G387" s="30" t="str">
        <x:v>n.a.</x:v>
      </x:c>
      <x:c r="H387" s="30" t="str">
        <x:v>n.a.</x:v>
      </x:c>
      <x:c r="I387" s="30" t="str">
        <x:f>IF(COUNT(B387,F387:H387)=4,B387+F387+G387-H387,"n.a.")</x:f>
        <x:v>n.a.</x:v>
      </x:c>
      <x:c r="J387" s="30" t="str">
        <x:v>n.a.</x:v>
      </x:c>
      <x:c r="K387" s="17"/>
      <x:c r="L387" s="17"/>
      <x:c r="M387" s="17"/>
      <x:c r="N387" s="17"/>
    </x:row>
    <x:row r="388" ht="21" customHeight="1">
      <x:c r="A388" s="27" t="d">
        <x:v>2026-07-18T00:00:00.000Z</x:v>
      </x:c>
      <x:c r="B388" s="22" t="n">
        <x:f>SUMIFS('Cash'!$C$5:$C$97,'Cash'!$A$5:$A$97,"&lt;="&amp;A388)</x:f>
        <x:v>132</x:v>
      </x:c>
      <x:c r="C388" s="22" t="n">
        <x:f>SUMIFS('Cash'!$C$5:$C$97,'Cash'!$A$5:$A$97,A388)</x:f>
        <x:v>0</x:v>
      </x:c>
      <x:c r="D388" s="22" t="n">
        <x:f>SUMIFS('Cash'!$C$5:$C$97,'Cash'!$A$5:$A$97,"&lt;="&amp;A388,'Cash'!$B$5:$B$97,"EXTERNAL_FUNDING")</x:f>
        <x:v>74012721</x:v>
      </x:c>
      <x:c r="E388" s="22" t="n">
        <x:f>SUMIFS('Cash'!$C$5:$C$97,'Cash'!$A$5:$A$97,"&lt;="&amp;A388,'Cash'!$B$5:$B$97,"DIVIDEND_NET")</x:f>
        <x:v>346750</x:v>
      </x:c>
      <x:c r="F388" s="30" t="str">
        <x:v>n.a.</x:v>
      </x:c>
      <x:c r="G388" s="30" t="str">
        <x:v>n.a.</x:v>
      </x:c>
      <x:c r="H388" s="30" t="str">
        <x:v>n.a.</x:v>
      </x:c>
      <x:c r="I388" s="30" t="str">
        <x:f>IF(COUNT(B388,F388:H388)=4,B388+F388+G388-H388,"n.a.")</x:f>
        <x:v>n.a.</x:v>
      </x:c>
      <x:c r="J388" s="30" t="str">
        <x:v>n.a.</x:v>
      </x:c>
      <x:c r="K388" s="17"/>
      <x:c r="L388" s="17"/>
      <x:c r="M388" s="17"/>
      <x:c r="N388" s="17"/>
    </x:row>
    <x:row r="389" ht="21" customHeight="1">
      <x:c r="A389" s="27" t="d">
        <x:v>2026-07-19T00:00:00.000Z</x:v>
      </x:c>
      <x:c r="B389" s="22" t="n">
        <x:f>SUMIFS('Cash'!$C$5:$C$97,'Cash'!$A$5:$A$97,"&lt;="&amp;A389)</x:f>
        <x:v>132</x:v>
      </x:c>
      <x:c r="C389" s="22" t="n">
        <x:f>SUMIFS('Cash'!$C$5:$C$97,'Cash'!$A$5:$A$97,A389)</x:f>
        <x:v>0</x:v>
      </x:c>
      <x:c r="D389" s="22" t="n">
        <x:f>SUMIFS('Cash'!$C$5:$C$97,'Cash'!$A$5:$A$97,"&lt;="&amp;A389,'Cash'!$B$5:$B$97,"EXTERNAL_FUNDING")</x:f>
        <x:v>74012721</x:v>
      </x:c>
      <x:c r="E389" s="22" t="n">
        <x:f>SUMIFS('Cash'!$C$5:$C$97,'Cash'!$A$5:$A$97,"&lt;="&amp;A389,'Cash'!$B$5:$B$97,"DIVIDEND_NET")</x:f>
        <x:v>346750</x:v>
      </x:c>
      <x:c r="F389" s="30" t="str">
        <x:v>n.a.</x:v>
      </x:c>
      <x:c r="G389" s="30" t="str">
        <x:v>n.a.</x:v>
      </x:c>
      <x:c r="H389" s="30" t="str">
        <x:v>n.a.</x:v>
      </x:c>
      <x:c r="I389" s="30" t="str">
        <x:f>IF(COUNT(B389,F389:H389)=4,B389+F389+G389-H389,"n.a.")</x:f>
        <x:v>n.a.</x:v>
      </x:c>
      <x:c r="J389" s="30" t="str">
        <x:v>n.a.</x:v>
      </x:c>
      <x:c r="K389" s="17"/>
      <x:c r="L389" s="17"/>
      <x:c r="M389" s="17"/>
      <x:c r="N389" s="17"/>
    </x:row>
    <x:row r="390" ht="21" customHeight="1">
      <x:c r="A390" s="27" t="d">
        <x:v>2026-07-20T00:00:00.000Z</x:v>
      </x:c>
      <x:c r="B390" s="22" t="n">
        <x:f>SUMIFS('Cash'!$C$5:$C$97,'Cash'!$A$5:$A$97,"&lt;="&amp;A390)</x:f>
        <x:v>132</x:v>
      </x:c>
      <x:c r="C390" s="22" t="n">
        <x:f>SUMIFS('Cash'!$C$5:$C$97,'Cash'!$A$5:$A$97,A390)</x:f>
        <x:v>0</x:v>
      </x:c>
      <x:c r="D390" s="22" t="n">
        <x:f>SUMIFS('Cash'!$C$5:$C$97,'Cash'!$A$5:$A$97,"&lt;="&amp;A390,'Cash'!$B$5:$B$97,"EXTERNAL_FUNDING")</x:f>
        <x:v>74012721</x:v>
      </x:c>
      <x:c r="E390" s="22" t="n">
        <x:f>SUMIFS('Cash'!$C$5:$C$97,'Cash'!$A$5:$A$97,"&lt;="&amp;A390,'Cash'!$B$5:$B$97,"DIVIDEND_NET")</x:f>
        <x:v>346750</x:v>
      </x:c>
      <x:c r="F390" s="30" t="str">
        <x:v>n.a.</x:v>
      </x:c>
      <x:c r="G390" s="30" t="str">
        <x:v>n.a.</x:v>
      </x:c>
      <x:c r="H390" s="30" t="str">
        <x:v>n.a.</x:v>
      </x:c>
      <x:c r="I390" s="30" t="str">
        <x:f>IF(COUNT(B390,F390:H390)=4,B390+F390+G390-H390,"n.a.")</x:f>
        <x:v>n.a.</x:v>
      </x:c>
      <x:c r="J390" s="30" t="str">
        <x:v>n.a.</x:v>
      </x:c>
      <x:c r="K390" s="17"/>
      <x:c r="L390" s="17"/>
      <x:c r="M390" s="17"/>
      <x:c r="N390" s="17"/>
    </x:row>
    <x:row r="391" ht="21" customHeight="1">
      <x:c r="A391" s="27" t="d">
        <x:v>2026-07-21T00:00:00.000Z</x:v>
      </x:c>
      <x:c r="B391" s="22" t="n">
        <x:f>SUMIFS('Cash'!$C$5:$C$97,'Cash'!$A$5:$A$97,"&lt;="&amp;A391)</x:f>
        <x:v>132</x:v>
      </x:c>
      <x:c r="C391" s="22" t="n">
        <x:f>SUMIFS('Cash'!$C$5:$C$97,'Cash'!$A$5:$A$97,A391)</x:f>
        <x:v>0</x:v>
      </x:c>
      <x:c r="D391" s="22" t="n">
        <x:f>SUMIFS('Cash'!$C$5:$C$97,'Cash'!$A$5:$A$97,"&lt;="&amp;A391,'Cash'!$B$5:$B$97,"EXTERNAL_FUNDING")</x:f>
        <x:v>74012721</x:v>
      </x:c>
      <x:c r="E391" s="22" t="n">
        <x:f>SUMIFS('Cash'!$C$5:$C$97,'Cash'!$A$5:$A$97,"&lt;="&amp;A391,'Cash'!$B$5:$B$97,"DIVIDEND_NET")</x:f>
        <x:v>346750</x:v>
      </x:c>
      <x:c r="F391" s="30" t="str">
        <x:v>n.a.</x:v>
      </x:c>
      <x:c r="G391" s="30" t="str">
        <x:v>n.a.</x:v>
      </x:c>
      <x:c r="H391" s="30" t="str">
        <x:v>n.a.</x:v>
      </x:c>
      <x:c r="I391" s="30" t="str">
        <x:f>IF(COUNT(B391,F391:H391)=4,B391+F391+G391-H391,"n.a.")</x:f>
        <x:v>n.a.</x:v>
      </x:c>
      <x:c r="J391" s="30" t="str">
        <x:v>n.a.</x:v>
      </x:c>
      <x:c r="K391" s="17"/>
      <x:c r="L391" s="17"/>
      <x:c r="M391" s="17"/>
      <x:c r="N391" s="17"/>
    </x:row>
    <x:row r="392" ht="21" customHeight="1">
      <x:c r="A392" s="27" t="d">
        <x:v>2026-07-22T00:00:00.000Z</x:v>
      </x:c>
      <x:c r="B392" s="22" t="n">
        <x:f>SUMIFS('Cash'!$C$5:$C$97,'Cash'!$A$5:$A$97,"&lt;="&amp;A392)</x:f>
        <x:v>665132</x:v>
      </x:c>
      <x:c r="C392" s="22" t="n">
        <x:f>SUMIFS('Cash'!$C$5:$C$97,'Cash'!$A$5:$A$97,A392)</x:f>
        <x:v>665000</x:v>
      </x:c>
      <x:c r="D392" s="22" t="n">
        <x:f>SUMIFS('Cash'!$C$5:$C$97,'Cash'!$A$5:$A$97,"&lt;="&amp;A392,'Cash'!$B$5:$B$97,"EXTERNAL_FUNDING")</x:f>
        <x:v>74012721</x:v>
      </x:c>
      <x:c r="E392" s="22" t="n">
        <x:f>SUMIFS('Cash'!$C$5:$C$97,'Cash'!$A$5:$A$97,"&lt;="&amp;A392,'Cash'!$B$5:$B$97,"DIVIDEND_NET")</x:f>
        <x:v>1011750</x:v>
      </x:c>
      <x:c r="F392" s="30" t="str">
        <x:v>n.a.</x:v>
      </x:c>
      <x:c r="G392" s="30" t="str">
        <x:v>n.a.</x:v>
      </x:c>
      <x:c r="H392" s="30" t="str">
        <x:v>n.a.</x:v>
      </x:c>
      <x:c r="I392" s="30" t="str">
        <x:f>IF(COUNT(B392,F392:H392)=4,B392+F392+G392-H392,"n.a.")</x:f>
        <x:v>n.a.</x:v>
      </x:c>
      <x:c r="J392" s="30" t="str">
        <x:v>n.a.</x:v>
      </x:c>
      <x:c r="K392" s="17"/>
      <x:c r="L392" s="17"/>
      <x:c r="M392" s="17"/>
      <x:c r="N392" s="17"/>
    </x:row>
    <x:row r="393" ht="21" customHeight="1">
      <x:c r="A393" s="27" t="d">
        <x:v>2026-07-23T00:00:00.000Z</x:v>
      </x:c>
      <x:c r="B393" s="22" t="n">
        <x:f>SUMIFS('Cash'!$C$5:$C$97,'Cash'!$A$5:$A$97,"&lt;="&amp;A393)</x:f>
        <x:v>665132</x:v>
      </x:c>
      <x:c r="C393" s="22" t="n">
        <x:f>SUMIFS('Cash'!$C$5:$C$97,'Cash'!$A$5:$A$97,A393)</x:f>
        <x:v>0</x:v>
      </x:c>
      <x:c r="D393" s="22" t="n">
        <x:f>SUMIFS('Cash'!$C$5:$C$97,'Cash'!$A$5:$A$97,"&lt;="&amp;A393,'Cash'!$B$5:$B$97,"EXTERNAL_FUNDING")</x:f>
        <x:v>74012721</x:v>
      </x:c>
      <x:c r="E393" s="22" t="n">
        <x:f>SUMIFS('Cash'!$C$5:$C$97,'Cash'!$A$5:$A$97,"&lt;="&amp;A393,'Cash'!$B$5:$B$97,"DIVIDEND_NET")</x:f>
        <x:v>1011750</x:v>
      </x:c>
      <x:c r="F393" s="30" t="str">
        <x:v>n.a.</x:v>
      </x:c>
      <x:c r="G393" s="30" t="str">
        <x:v>n.a.</x:v>
      </x:c>
      <x:c r="H393" s="30" t="str">
        <x:v>n.a.</x:v>
      </x:c>
      <x:c r="I393" s="30" t="str">
        <x:f>IF(COUNT(B393,F393:H393)=4,B393+F393+G393-H393,"n.a.")</x:f>
        <x:v>n.a.</x:v>
      </x:c>
      <x:c r="J393" s="30" t="str">
        <x:v>n.a.</x:v>
      </x:c>
      <x:c r="K393" s="17"/>
      <x:c r="L393" s="17"/>
      <x:c r="M393" s="17"/>
      <x:c r="N393" s="17"/>
    </x:row>
    <x:row r="394" ht="21" customHeight="1">
      <x:c r="A394" s="27" t="d">
        <x:v>2026-07-24T00:00:00.000Z</x:v>
      </x:c>
      <x:c r="B394" s="22" t="n">
        <x:f>SUMIFS('Cash'!$C$5:$C$97,'Cash'!$A$5:$A$97,"&lt;="&amp;A394)</x:f>
        <x:v>665132</x:v>
      </x:c>
      <x:c r="C394" s="22" t="n">
        <x:f>SUMIFS('Cash'!$C$5:$C$97,'Cash'!$A$5:$A$97,A394)</x:f>
        <x:v>0</x:v>
      </x:c>
      <x:c r="D394" s="22" t="n">
        <x:f>SUMIFS('Cash'!$C$5:$C$97,'Cash'!$A$5:$A$97,"&lt;="&amp;A394,'Cash'!$B$5:$B$97,"EXTERNAL_FUNDING")</x:f>
        <x:v>74012721</x:v>
      </x:c>
      <x:c r="E394" s="22" t="n">
        <x:f>SUMIFS('Cash'!$C$5:$C$97,'Cash'!$A$5:$A$97,"&lt;="&amp;A394,'Cash'!$B$5:$B$97,"DIVIDEND_NET")</x:f>
        <x:v>1011750</x:v>
      </x:c>
      <x:c r="F394" s="30" t="str">
        <x:v>n.a.</x:v>
      </x:c>
      <x:c r="G394" s="30" t="str">
        <x:v>n.a.</x:v>
      </x:c>
      <x:c r="H394" s="30" t="str">
        <x:v>n.a.</x:v>
      </x:c>
      <x:c r="I394" s="30" t="str">
        <x:f>IF(COUNT(B394,F394:H394)=4,B394+F394+G394-H394,"n.a.")</x:f>
        <x:v>n.a.</x:v>
      </x:c>
      <x:c r="J394" s="30" t="str">
        <x:v>n.a.</x:v>
      </x:c>
      <x:c r="K394" s="17"/>
      <x:c r="L394" s="17"/>
      <x:c r="M394" s="17"/>
      <x:c r="N394" s="17"/>
    </x:row>
    <x:row r="395" ht="21" customHeight="1">
      <x:c r="A395" s="27" t="d">
        <x:v>2026-07-25T00:00:00.000Z</x:v>
      </x:c>
      <x:c r="B395" s="22" t="n">
        <x:f>SUMIFS('Cash'!$C$5:$C$97,'Cash'!$A$5:$A$97,"&lt;="&amp;A395)</x:f>
        <x:v>665132</x:v>
      </x:c>
      <x:c r="C395" s="22" t="n">
        <x:f>SUMIFS('Cash'!$C$5:$C$97,'Cash'!$A$5:$A$97,A395)</x:f>
        <x:v>0</x:v>
      </x:c>
      <x:c r="D395" s="22" t="n">
        <x:f>SUMIFS('Cash'!$C$5:$C$97,'Cash'!$A$5:$A$97,"&lt;="&amp;A395,'Cash'!$B$5:$B$97,"EXTERNAL_FUNDING")</x:f>
        <x:v>74012721</x:v>
      </x:c>
      <x:c r="E395" s="22" t="n">
        <x:f>SUMIFS('Cash'!$C$5:$C$97,'Cash'!$A$5:$A$97,"&lt;="&amp;A395,'Cash'!$B$5:$B$97,"DIVIDEND_NET")</x:f>
        <x:v>1011750</x:v>
      </x:c>
      <x:c r="F395" s="30" t="str">
        <x:v>n.a.</x:v>
      </x:c>
      <x:c r="G395" s="30" t="str">
        <x:v>n.a.</x:v>
      </x:c>
      <x:c r="H395" s="30" t="str">
        <x:v>n.a.</x:v>
      </x:c>
      <x:c r="I395" s="30" t="str">
        <x:f>IF(COUNT(B395,F395:H395)=4,B395+F395+G395-H395,"n.a.")</x:f>
        <x:v>n.a.</x:v>
      </x:c>
      <x:c r="J395" s="30" t="str">
        <x:v>n.a.</x:v>
      </x:c>
      <x:c r="K395" s="17"/>
      <x:c r="L395" s="17"/>
      <x:c r="M395" s="17"/>
      <x:c r="N395" s="17"/>
    </x:row>
    <x:row r="396" ht="21" customHeight="1">
      <x:c r="A396" s="27" t="d">
        <x:v>2026-07-26T00:00:00.000Z</x:v>
      </x:c>
      <x:c r="B396" s="22" t="n">
        <x:f>SUMIFS('Cash'!$C$5:$C$97,'Cash'!$A$5:$A$97,"&lt;="&amp;A396)</x:f>
        <x:v>665132</x:v>
      </x:c>
      <x:c r="C396" s="22" t="n">
        <x:f>SUMIFS('Cash'!$C$5:$C$97,'Cash'!$A$5:$A$97,A396)</x:f>
        <x:v>0</x:v>
      </x:c>
      <x:c r="D396" s="22" t="n">
        <x:f>SUMIFS('Cash'!$C$5:$C$97,'Cash'!$A$5:$A$97,"&lt;="&amp;A396,'Cash'!$B$5:$B$97,"EXTERNAL_FUNDING")</x:f>
        <x:v>74012721</x:v>
      </x:c>
      <x:c r="E396" s="22" t="n">
        <x:f>SUMIFS('Cash'!$C$5:$C$97,'Cash'!$A$5:$A$97,"&lt;="&amp;A396,'Cash'!$B$5:$B$97,"DIVIDEND_NET")</x:f>
        <x:v>1011750</x:v>
      </x:c>
      <x:c r="F396" s="30" t="str">
        <x:v>n.a.</x:v>
      </x:c>
      <x:c r="G396" s="30" t="str">
        <x:v>n.a.</x:v>
      </x:c>
      <x:c r="H396" s="30" t="str">
        <x:v>n.a.</x:v>
      </x:c>
      <x:c r="I396" s="30" t="str">
        <x:f>IF(COUNT(B396,F396:H396)=4,B396+F396+G396-H396,"n.a.")</x:f>
        <x:v>n.a.</x:v>
      </x:c>
      <x:c r="J396" s="30" t="str">
        <x:v>n.a.</x:v>
      </x:c>
      <x:c r="K396" s="17"/>
      <x:c r="L396" s="17"/>
      <x:c r="M396" s="17"/>
      <x:c r="N396" s="17"/>
    </x:row>
    <x:row r="397" ht="21" customHeight="1">
      <x:c r="A397" s="27" t="d">
        <x:v>2026-07-27T00:00:00.000Z</x:v>
      </x:c>
      <x:c r="B397" s="22" t="n">
        <x:f>SUMIFS('Cash'!$C$5:$C$97,'Cash'!$A$5:$A$97,"&lt;="&amp;A397)</x:f>
        <x:v>665132</x:v>
      </x:c>
      <x:c r="C397" s="22" t="n">
        <x:f>SUMIFS('Cash'!$C$5:$C$97,'Cash'!$A$5:$A$97,A397)</x:f>
        <x:v>0</x:v>
      </x:c>
      <x:c r="D397" s="22" t="n">
        <x:f>SUMIFS('Cash'!$C$5:$C$97,'Cash'!$A$5:$A$97,"&lt;="&amp;A397,'Cash'!$B$5:$B$97,"EXTERNAL_FUNDING")</x:f>
        <x:v>74012721</x:v>
      </x:c>
      <x:c r="E397" s="22" t="n">
        <x:f>SUMIFS('Cash'!$C$5:$C$97,'Cash'!$A$5:$A$97,"&lt;="&amp;A397,'Cash'!$B$5:$B$97,"DIVIDEND_NET")</x:f>
        <x:v>1011750</x:v>
      </x:c>
      <x:c r="F397" s="30" t="str">
        <x:v>n.a.</x:v>
      </x:c>
      <x:c r="G397" s="30" t="str">
        <x:v>n.a.</x:v>
      </x:c>
      <x:c r="H397" s="30" t="str">
        <x:v>n.a.</x:v>
      </x:c>
      <x:c r="I397" s="30" t="str">
        <x:f>IF(COUNT(B397,F397:H397)=4,B397+F397+G397-H397,"n.a.")</x:f>
        <x:v>n.a.</x:v>
      </x:c>
      <x:c r="J397" s="30" t="str">
        <x:v>n.a.</x:v>
      </x:c>
      <x:c r="K397" s="17"/>
      <x:c r="L397" s="17"/>
      <x:c r="M397" s="17"/>
      <x:c r="N397" s="17"/>
    </x:row>
    <x:row r="398" ht="21" customHeight="1">
      <x:c r="A398" s="27" t="d">
        <x:v>2026-07-28T00:00:00.000Z</x:v>
      </x:c>
      <x:c r="B398" s="22" t="n">
        <x:f>SUMIFS('Cash'!$C$5:$C$97,'Cash'!$A$5:$A$97,"&lt;="&amp;A398)</x:f>
        <x:v>665132</x:v>
      </x:c>
      <x:c r="C398" s="22" t="n">
        <x:f>SUMIFS('Cash'!$C$5:$C$97,'Cash'!$A$5:$A$97,A398)</x:f>
        <x:v>0</x:v>
      </x:c>
      <x:c r="D398" s="22" t="n">
        <x:f>SUMIFS('Cash'!$C$5:$C$97,'Cash'!$A$5:$A$97,"&lt;="&amp;A398,'Cash'!$B$5:$B$97,"EXTERNAL_FUNDING")</x:f>
        <x:v>74012721</x:v>
      </x:c>
      <x:c r="E398" s="22" t="n">
        <x:f>SUMIFS('Cash'!$C$5:$C$97,'Cash'!$A$5:$A$97,"&lt;="&amp;A398,'Cash'!$B$5:$B$97,"DIVIDEND_NET")</x:f>
        <x:v>1011750</x:v>
      </x:c>
      <x:c r="F398" s="30" t="str">
        <x:v>n.a.</x:v>
      </x:c>
      <x:c r="G398" s="30" t="str">
        <x:v>n.a.</x:v>
      </x:c>
      <x:c r="H398" s="30" t="str">
        <x:v>n.a.</x:v>
      </x:c>
      <x:c r="I398" s="30" t="str">
        <x:f>IF(COUNT(B398,F398:H398)=4,B398+F398+G398-H398,"n.a.")</x:f>
        <x:v>n.a.</x:v>
      </x:c>
      <x:c r="J398" s="30" t="str">
        <x:v>n.a.</x:v>
      </x:c>
      <x:c r="K398" s="17"/>
      <x:c r="L398" s="17"/>
      <x:c r="M398" s="17"/>
      <x:c r="N398" s="17"/>
    </x:row>
    <x:row r="399" ht="21" customHeight="1">
      <x:c r="A399" s="27" t="d">
        <x:v>2026-07-29T00:00:00.000Z</x:v>
      </x:c>
      <x:c r="B399" s="22" t="n">
        <x:f>SUMIFS('Cash'!$C$5:$C$97,'Cash'!$A$5:$A$97,"&lt;="&amp;A399)</x:f>
        <x:v>665132</x:v>
      </x:c>
      <x:c r="C399" s="22" t="n">
        <x:f>SUMIFS('Cash'!$C$5:$C$97,'Cash'!$A$5:$A$97,A399)</x:f>
        <x:v>0</x:v>
      </x:c>
      <x:c r="D399" s="22" t="n">
        <x:f>SUMIFS('Cash'!$C$5:$C$97,'Cash'!$A$5:$A$97,"&lt;="&amp;A399,'Cash'!$B$5:$B$97,"EXTERNAL_FUNDING")</x:f>
        <x:v>74012721</x:v>
      </x:c>
      <x:c r="E399" s="22" t="n">
        <x:f>SUMIFS('Cash'!$C$5:$C$97,'Cash'!$A$5:$A$97,"&lt;="&amp;A399,'Cash'!$B$5:$B$97,"DIVIDEND_NET")</x:f>
        <x:v>1011750</x:v>
      </x:c>
      <x:c r="F399" s="30" t="str">
        <x:v>n.a.</x:v>
      </x:c>
      <x:c r="G399" s="30" t="str">
        <x:v>n.a.</x:v>
      </x:c>
      <x:c r="H399" s="30" t="str">
        <x:v>n.a.</x:v>
      </x:c>
      <x:c r="I399" s="30" t="str">
        <x:f>IF(COUNT(B399,F399:H399)=4,B399+F399+G399-H399,"n.a.")</x:f>
        <x:v>n.a.</x:v>
      </x:c>
      <x:c r="J399" s="30" t="str">
        <x:v>n.a.</x:v>
      </x:c>
      <x:c r="K399" s="17"/>
      <x:c r="L399" s="17"/>
      <x:c r="M399" s="17"/>
      <x:c r="N399" s="17"/>
    </x:row>
    <x:row r="400" ht="21" customHeight="1">
      <x:c r="A400" s="27" t="d">
        <x:v>2026-07-30T00:00:00.000Z</x:v>
      </x:c>
      <x:c r="B400" s="22" t="n">
        <x:f>SUMIFS('Cash'!$C$5:$C$97,'Cash'!$A$5:$A$97,"&lt;="&amp;A400)</x:f>
        <x:v>336</x:v>
      </x:c>
      <x:c r="C400" s="22" t="n">
        <x:f>SUMIFS('Cash'!$C$5:$C$97,'Cash'!$A$5:$A$97,A400)</x:f>
        <x:v>-664796</x:v>
      </x:c>
      <x:c r="D400" s="22" t="n">
        <x:f>SUMIFS('Cash'!$C$5:$C$97,'Cash'!$A$5:$A$97,"&lt;="&amp;A400,'Cash'!$B$5:$B$97,"EXTERNAL_FUNDING")</x:f>
        <x:v>80019926</x:v>
      </x:c>
      <x:c r="E400" s="22" t="n">
        <x:f>SUMIFS('Cash'!$C$5:$C$97,'Cash'!$A$5:$A$97,"&lt;="&amp;A400,'Cash'!$B$5:$B$97,"DIVIDEND_NET")</x:f>
        <x:v>1011750</x:v>
      </x:c>
      <x:c r="F400" s="30" t="str">
        <x:v>n.a.</x:v>
      </x:c>
      <x:c r="G400" s="30" t="str">
        <x:v>n.a.</x:v>
      </x:c>
      <x:c r="H400" s="30" t="str">
        <x:v>n.a.</x:v>
      </x:c>
      <x:c r="I400" s="30" t="str">
        <x:f>IF(COUNT(B400,F400:H400)=4,B400+F400+G400-H400,"n.a.")</x:f>
        <x:v>n.a.</x:v>
      </x:c>
      <x:c r="J400" s="30" t="str">
        <x:v>n.a.</x:v>
      </x:c>
      <x:c r="K400" s="17"/>
      <x:c r="L400" s="17"/>
      <x:c r="M400" s="17"/>
      <x:c r="N400" s="17"/>
    </x:row>
    <x:row r="401" ht="21" customHeight="1">
      <x:c r="A401" s="27" t="d">
        <x:v>2026-07-31T00:00:00.000Z</x:v>
      </x:c>
      <x:c r="B401" s="22" t="n">
        <x:f>SUMIFS('Cash'!$C$5:$C$97,'Cash'!$A$5:$A$97,"&lt;="&amp;A401)</x:f>
        <x:v>76</x:v>
      </x:c>
      <x:c r="C401" s="22" t="n">
        <x:f>SUMIFS('Cash'!$C$5:$C$97,'Cash'!$A$5:$A$97,A401)</x:f>
        <x:v>-260</x:v>
      </x:c>
      <x:c r="D401" s="22" t="n">
        <x:f>SUMIFS('Cash'!$C$5:$C$97,'Cash'!$A$5:$A$97,"&lt;="&amp;A401,'Cash'!$B$5:$B$97,"EXTERNAL_FUNDING")</x:f>
        <x:v>80019926</x:v>
      </x:c>
      <x:c r="E401" s="22" t="n">
        <x:f>SUMIFS('Cash'!$C$5:$C$97,'Cash'!$A$5:$A$97,"&lt;="&amp;A401,'Cash'!$B$5:$B$97,"DIVIDEND_NET")</x:f>
        <x:v>1011750</x:v>
      </x:c>
      <x:c r="F401" s="30" t="str">
        <x:v>n.a.</x:v>
      </x:c>
      <x:c r="G401" s="30" t="str">
        <x:v>n.a.</x:v>
      </x:c>
      <x:c r="H401" s="30" t="str">
        <x:v>n.a.</x:v>
      </x:c>
      <x:c r="I401" s="30" t="str">
        <x:f>IF(COUNT(B401,F401:H401)=4,B401+F401+G401-H401,"n.a.")</x:f>
        <x:v>n.a.</x:v>
      </x:c>
      <x:c r="J401" s="30" t="str">
        <x:v>n.a.</x:v>
      </x:c>
      <x:c r="K401" s="17"/>
      <x:c r="L401" s="17"/>
      <x:c r="M401" s="17"/>
      <x:c r="N401" s="17"/>
    </x:row>
    <x:row r="402" ht="21" customHeight="1">
      <x:c r="A402" s="27" t="d">
        <x:v>2026-08-01T00:00:00.000Z</x:v>
      </x:c>
      <x:c r="B402" s="22" t="n">
        <x:f>SUMIFS('Cash'!$C$5:$C$97,'Cash'!$A$5:$A$97,"&lt;="&amp;A402)</x:f>
        <x:v>76</x:v>
      </x:c>
      <x:c r="C402" s="22" t="n">
        <x:f>SUMIFS('Cash'!$C$5:$C$97,'Cash'!$A$5:$A$97,A402)</x:f>
        <x:v>0</x:v>
      </x:c>
      <x:c r="D402" s="22" t="n">
        <x:f>SUMIFS('Cash'!$C$5:$C$97,'Cash'!$A$5:$A$97,"&lt;="&amp;A402,'Cash'!$B$5:$B$97,"EXTERNAL_FUNDING")</x:f>
        <x:v>80019926</x:v>
      </x:c>
      <x:c r="E402" s="22" t="n">
        <x:f>SUMIFS('Cash'!$C$5:$C$97,'Cash'!$A$5:$A$97,"&lt;="&amp;A402,'Cash'!$B$5:$B$97,"DIVIDEND_NET")</x:f>
        <x:v>1011750</x:v>
      </x:c>
      <x:c r="F402" s="30" t="str">
        <x:v>n.a.</x:v>
      </x:c>
      <x:c r="G402" s="30" t="str">
        <x:v>n.a.</x:v>
      </x:c>
      <x:c r="H402" s="30" t="str">
        <x:v>n.a.</x:v>
      </x:c>
      <x:c r="I402" s="30" t="str">
        <x:f>IF(COUNT(B402,F402:H402)=4,B402+F402+G402-H402,"n.a.")</x:f>
        <x:v>n.a.</x:v>
      </x:c>
      <x:c r="J402" s="30" t="str">
        <x:v>n.a.</x:v>
      </x:c>
      <x:c r="K402" s="17"/>
      <x:c r="L402" s="17"/>
      <x:c r="M402" s="17"/>
      <x:c r="N402" s="17"/>
    </x:row>
    <x:row r="403" ht="21" customHeight="1">
      <x:c r="A403" s="27" t="d">
        <x:v>2026-08-02T00:00:00.000Z</x:v>
      </x:c>
      <x:c r="B403" s="22" t="n">
        <x:f>SUMIFS('Cash'!$C$5:$C$97,'Cash'!$A$5:$A$97,"&lt;="&amp;A403)</x:f>
        <x:v>76</x:v>
      </x:c>
      <x:c r="C403" s="22" t="n">
        <x:f>SUMIFS('Cash'!$C$5:$C$97,'Cash'!$A$5:$A$97,A403)</x:f>
        <x:v>0</x:v>
      </x:c>
      <x:c r="D403" s="22" t="n">
        <x:f>SUMIFS('Cash'!$C$5:$C$97,'Cash'!$A$5:$A$97,"&lt;="&amp;A403,'Cash'!$B$5:$B$97,"EXTERNAL_FUNDING")</x:f>
        <x:v>80019926</x:v>
      </x:c>
      <x:c r="E403" s="22" t="n">
        <x:f>SUMIFS('Cash'!$C$5:$C$97,'Cash'!$A$5:$A$97,"&lt;="&amp;A403,'Cash'!$B$5:$B$97,"DIVIDEND_NET")</x:f>
        <x:v>1011750</x:v>
      </x:c>
      <x:c r="F403" s="30" t="str">
        <x:v>n.a.</x:v>
      </x:c>
      <x:c r="G403" s="30" t="str">
        <x:v>n.a.</x:v>
      </x:c>
      <x:c r="H403" s="30" t="str">
        <x:v>n.a.</x:v>
      </x:c>
      <x:c r="I403" s="30" t="str">
        <x:f>IF(COUNT(B403,F403:H403)=4,B403+F403+G403-H403,"n.a.")</x:f>
        <x:v>n.a.</x:v>
      </x:c>
      <x:c r="J403" s="30" t="str">
        <x:v>n.a.</x:v>
      </x:c>
      <x:c r="K403" s="17"/>
      <x:c r="L403" s="17"/>
      <x:c r="M403" s="17"/>
      <x:c r="N403" s="17"/>
    </x:row>
    <x:row r="404" ht="21" customHeight="1">
      <x:c r="A404" s="27" t="d">
        <x:v>2026-08-03T00:00:00.000Z</x:v>
      </x:c>
      <x:c r="B404" s="22" t="n">
        <x:f>SUMIFS('Cash'!$C$5:$C$97,'Cash'!$A$5:$A$97,"&lt;="&amp;A404)</x:f>
        <x:v>76</x:v>
      </x:c>
      <x:c r="C404" s="22" t="n">
        <x:f>SUMIFS('Cash'!$C$5:$C$97,'Cash'!$A$5:$A$97,A404)</x:f>
        <x:v>0</x:v>
      </x:c>
      <x:c r="D404" s="22" t="n">
        <x:f>SUMIFS('Cash'!$C$5:$C$97,'Cash'!$A$5:$A$97,"&lt;="&amp;A404,'Cash'!$B$5:$B$97,"EXTERNAL_FUNDING")</x:f>
        <x:v>80019926</x:v>
      </x:c>
      <x:c r="E404" s="22" t="n">
        <x:f>SUMIFS('Cash'!$C$5:$C$97,'Cash'!$A$5:$A$97,"&lt;="&amp;A404,'Cash'!$B$5:$B$97,"DIVIDEND_NET")</x:f>
        <x:v>1011750</x:v>
      </x:c>
      <x:c r="F404" s="30" t="str">
        <x:v>n.a.</x:v>
      </x:c>
      <x:c r="G404" s="30" t="str">
        <x:v>n.a.</x:v>
      </x:c>
      <x:c r="H404" s="30" t="str">
        <x:v>n.a.</x:v>
      </x:c>
      <x:c r="I404" s="30" t="str">
        <x:f>IF(COUNT(B404,F404:H404)=4,B404+F404+G404-H404,"n.a.")</x:f>
        <x:v>n.a.</x:v>
      </x:c>
      <x:c r="J404" s="30" t="str">
        <x:v>n.a.</x:v>
      </x:c>
      <x:c r="K404" s="17"/>
      <x:c r="L404" s="17"/>
      <x:c r="M404" s="17"/>
      <x:c r="N404" s="17"/>
    </x:row>
    <x:row r="405" ht="21" customHeight="1">
      <x:c r="A405" s="27" t="d">
        <x:v>2026-08-04T00:00:00.000Z</x:v>
      </x:c>
      <x:c r="B405" s="22" t="n">
        <x:f>SUMIFS('Cash'!$C$5:$C$97,'Cash'!$A$5:$A$97,"&lt;="&amp;A405)</x:f>
        <x:v>37</x:v>
      </x:c>
      <x:c r="C405" s="22" t="n">
        <x:f>SUMIFS('Cash'!$C$5:$C$97,'Cash'!$A$5:$A$97,A405)</x:f>
        <x:v>-39</x:v>
      </x:c>
      <x:c r="D405" s="22" t="n">
        <x:f>SUMIFS('Cash'!$C$5:$C$97,'Cash'!$A$5:$A$97,"&lt;="&amp;A405,'Cash'!$B$5:$B$97,"EXTERNAL_FUNDING")</x:f>
        <x:v>82460619</x:v>
      </x:c>
      <x:c r="E405" s="22" t="n">
        <x:f>SUMIFS('Cash'!$C$5:$C$97,'Cash'!$A$5:$A$97,"&lt;="&amp;A405,'Cash'!$B$5:$B$97,"DIVIDEND_NET")</x:f>
        <x:v>1011750</x:v>
      </x:c>
      <x:c r="F405" s="30" t="str">
        <x:v>n.a.</x:v>
      </x:c>
      <x:c r="G405" s="30" t="str">
        <x:v>n.a.</x:v>
      </x:c>
      <x:c r="H405" s="30" t="str">
        <x:v>n.a.</x:v>
      </x:c>
      <x:c r="I405" s="30" t="str">
        <x:f>IF(COUNT(B405,F405:H405)=4,B405+F405+G405-H405,"n.a.")</x:f>
        <x:v>n.a.</x:v>
      </x:c>
      <x:c r="J405" s="30" t="str">
        <x:v>n.a.</x:v>
      </x:c>
      <x:c r="K405" s="17"/>
      <x:c r="L405" s="17"/>
      <x:c r="M405" s="17"/>
      <x:c r="N405" s="17"/>
    </x:row>
    <x:row r="406" ht="21" customHeight="1">
      <x:c r="A406" s="27" t="d">
        <x:v>2026-08-05T00:00:00.000Z</x:v>
      </x:c>
      <x:c r="B406" s="22" t="n">
        <x:f>SUMIFS('Cash'!$C$5:$C$97,'Cash'!$A$5:$A$97,"&lt;="&amp;A406)</x:f>
        <x:v>1455639</x:v>
      </x:c>
      <x:c r="C406" s="22" t="n">
        <x:f>SUMIFS('Cash'!$C$5:$C$97,'Cash'!$A$5:$A$97,A406)</x:f>
        <x:v>1455602</x:v>
      </x:c>
      <x:c r="D406" s="22" t="n">
        <x:f>SUMIFS('Cash'!$C$5:$C$97,'Cash'!$A$5:$A$97,"&lt;="&amp;A406,'Cash'!$B$5:$B$97,"EXTERNAL_FUNDING")</x:f>
        <x:v>82460619</x:v>
      </x:c>
      <x:c r="E406" s="22" t="n">
        <x:f>SUMIFS('Cash'!$C$5:$C$97,'Cash'!$A$5:$A$97,"&lt;="&amp;A406,'Cash'!$B$5:$B$97,"DIVIDEND_NET")</x:f>
        <x:v>1011750</x:v>
      </x:c>
      <x:c r="F406" s="30" t="str">
        <x:v>n.a.</x:v>
      </x:c>
      <x:c r="G406" s="30" t="str">
        <x:v>n.a.</x:v>
      </x:c>
      <x:c r="H406" s="30" t="str">
        <x:v>n.a.</x:v>
      </x:c>
      <x:c r="I406" s="30" t="str">
        <x:f>IF(COUNT(B406,F406:H406)=4,B406+F406+G406-H406,"n.a.")</x:f>
        <x:v>n.a.</x:v>
      </x:c>
      <x:c r="J406" s="30" t="str">
        <x:v>n.a.</x:v>
      </x:c>
      <x:c r="K406" s="17"/>
      <x:c r="L406" s="17"/>
      <x:c r="M406" s="17"/>
      <x:c r="N406" s="17"/>
    </x:row>
    <x:row r="407" ht="21" customHeight="1">
      <x:c r="A407" s="27" t="d">
        <x:v>2026-08-06T00:00:00.000Z</x:v>
      </x:c>
      <x:c r="B407" s="22" t="n">
        <x:f>SUMIFS('Cash'!$C$5:$C$97,'Cash'!$A$5:$A$97,"&lt;="&amp;A407)</x:f>
        <x:v>1622546</x:v>
      </x:c>
      <x:c r="C407" s="22" t="n">
        <x:f>SUMIFS('Cash'!$C$5:$C$97,'Cash'!$A$5:$A$97,A407)</x:f>
        <x:v>166907</x:v>
      </x:c>
      <x:c r="D407" s="22" t="n">
        <x:f>SUMIFS('Cash'!$C$5:$C$97,'Cash'!$A$5:$A$97,"&lt;="&amp;A407,'Cash'!$B$5:$B$97,"EXTERNAL_FUNDING")</x:f>
        <x:v>82460619</x:v>
      </x:c>
      <x:c r="E407" s="22" t="n">
        <x:f>SUMIFS('Cash'!$C$5:$C$97,'Cash'!$A$5:$A$97,"&lt;="&amp;A407,'Cash'!$B$5:$B$97,"DIVIDEND_NET")</x:f>
        <x:v>1106750</x:v>
      </x:c>
      <x:c r="F407" s="30" t="str">
        <x:v>n.a.</x:v>
      </x:c>
      <x:c r="G407" s="30" t="str">
        <x:v>n.a.</x:v>
      </x:c>
      <x:c r="H407" s="30" t="str">
        <x:v>n.a.</x:v>
      </x:c>
      <x:c r="I407" s="30" t="str">
        <x:f>IF(COUNT(B407,F407:H407)=4,B407+F407+G407-H407,"n.a.")</x:f>
        <x:v>n.a.</x:v>
      </x:c>
      <x:c r="J407" s="30" t="str">
        <x:v>n.a.</x:v>
      </x:c>
      <x:c r="K407" s="17"/>
      <x:c r="L407" s="17"/>
      <x:c r="M407" s="17"/>
      <x:c r="N407" s="17"/>
    </x:row>
    <x:row r="408" ht="21" customHeight="1">
      <x:c r="A408" s="27" t="d">
        <x:v>2026-08-07T00:00:00.000Z</x:v>
      </x:c>
      <x:c r="B408" s="22" t="n">
        <x:f>SUMIFS('Cash'!$C$5:$C$97,'Cash'!$A$5:$A$97,"&lt;="&amp;A408)</x:f>
        <x:v>1622546</x:v>
      </x:c>
      <x:c r="C408" s="22" t="n">
        <x:f>SUMIFS('Cash'!$C$5:$C$97,'Cash'!$A$5:$A$97,A408)</x:f>
        <x:v>0</x:v>
      </x:c>
      <x:c r="D408" s="22" t="n">
        <x:f>SUMIFS('Cash'!$C$5:$C$97,'Cash'!$A$5:$A$97,"&lt;="&amp;A408,'Cash'!$B$5:$B$97,"EXTERNAL_FUNDING")</x:f>
        <x:v>82460619</x:v>
      </x:c>
      <x:c r="E408" s="22" t="n">
        <x:f>SUMIFS('Cash'!$C$5:$C$97,'Cash'!$A$5:$A$97,"&lt;="&amp;A408,'Cash'!$B$5:$B$97,"DIVIDEND_NET")</x:f>
        <x:v>1106750</x:v>
      </x:c>
      <x:c r="F408" s="30" t="str">
        <x:v>n.a.</x:v>
      </x:c>
      <x:c r="G408" s="30" t="str">
        <x:v>n.a.</x:v>
      </x:c>
      <x:c r="H408" s="30" t="str">
        <x:v>n.a.</x:v>
      </x:c>
      <x:c r="I408" s="30" t="str">
        <x:f>IF(COUNT(B408,F408:H408)=4,B408+F408+G408-H408,"n.a.")</x:f>
        <x:v>n.a.</x:v>
      </x:c>
      <x:c r="J408" s="30" t="str">
        <x:v>n.a.</x:v>
      </x:c>
      <x:c r="K408" s="17"/>
      <x:c r="L408" s="17"/>
      <x:c r="M408" s="17"/>
      <x:c r="N408" s="17"/>
    </x:row>
    <x:row r="409" ht="21" customHeight="1">
      <x:c r="A409" s="27" t="d">
        <x:v>2026-08-08T00:00:00.000Z</x:v>
      </x:c>
      <x:c r="B409" s="22" t="n">
        <x:f>SUMIFS('Cash'!$C$5:$C$97,'Cash'!$A$5:$A$97,"&lt;="&amp;A409)</x:f>
        <x:v>1622546</x:v>
      </x:c>
      <x:c r="C409" s="22" t="n">
        <x:f>SUMIFS('Cash'!$C$5:$C$97,'Cash'!$A$5:$A$97,A409)</x:f>
        <x:v>0</x:v>
      </x:c>
      <x:c r="D409" s="22" t="n">
        <x:f>SUMIFS('Cash'!$C$5:$C$97,'Cash'!$A$5:$A$97,"&lt;="&amp;A409,'Cash'!$B$5:$B$97,"EXTERNAL_FUNDING")</x:f>
        <x:v>82460619</x:v>
      </x:c>
      <x:c r="E409" s="22" t="n">
        <x:f>SUMIFS('Cash'!$C$5:$C$97,'Cash'!$A$5:$A$97,"&lt;="&amp;A409,'Cash'!$B$5:$B$97,"DIVIDEND_NET")</x:f>
        <x:v>1106750</x:v>
      </x:c>
      <x:c r="F409" s="30" t="str">
        <x:v>n.a.</x:v>
      </x:c>
      <x:c r="G409" s="30" t="str">
        <x:v>n.a.</x:v>
      </x:c>
      <x:c r="H409" s="30" t="str">
        <x:v>n.a.</x:v>
      </x:c>
      <x:c r="I409" s="30" t="str">
        <x:f>IF(COUNT(B409,F409:H409)=4,B409+F409+G409-H409,"n.a.")</x:f>
        <x:v>n.a.</x:v>
      </x:c>
      <x:c r="J409" s="30" t="str">
        <x:v>n.a.</x:v>
      </x:c>
      <x:c r="K409" s="17"/>
      <x:c r="L409" s="17"/>
      <x:c r="M409" s="17"/>
      <x:c r="N409" s="17"/>
    </x:row>
    <x:row r="410" ht="21" customHeight="1">
      <x:c r="A410" s="27" t="d">
        <x:v>2026-08-09T00:00:00.000Z</x:v>
      </x:c>
      <x:c r="B410" s="22" t="n">
        <x:f>SUMIFS('Cash'!$C$5:$C$97,'Cash'!$A$5:$A$97,"&lt;="&amp;A410)</x:f>
        <x:v>1622546</x:v>
      </x:c>
      <x:c r="C410" s="22" t="n">
        <x:f>SUMIFS('Cash'!$C$5:$C$97,'Cash'!$A$5:$A$97,A410)</x:f>
        <x:v>0</x:v>
      </x:c>
      <x:c r="D410" s="22" t="n">
        <x:f>SUMIFS('Cash'!$C$5:$C$97,'Cash'!$A$5:$A$97,"&lt;="&amp;A410,'Cash'!$B$5:$B$97,"EXTERNAL_FUNDING")</x:f>
        <x:v>82460619</x:v>
      </x:c>
      <x:c r="E410" s="22" t="n">
        <x:f>SUMIFS('Cash'!$C$5:$C$97,'Cash'!$A$5:$A$97,"&lt;="&amp;A410,'Cash'!$B$5:$B$97,"DIVIDEND_NET")</x:f>
        <x:v>1106750</x:v>
      </x:c>
      <x:c r="F410" s="30" t="str">
        <x:v>n.a.</x:v>
      </x:c>
      <x:c r="G410" s="30" t="str">
        <x:v>n.a.</x:v>
      </x:c>
      <x:c r="H410" s="30" t="str">
        <x:v>n.a.</x:v>
      </x:c>
      <x:c r="I410" s="30" t="str">
        <x:f>IF(COUNT(B410,F410:H410)=4,B410+F410+G410-H410,"n.a.")</x:f>
        <x:v>n.a.</x:v>
      </x:c>
      <x:c r="J410" s="30" t="str">
        <x:v>n.a.</x:v>
      </x:c>
      <x:c r="K410" s="17"/>
      <x:c r="L410" s="17"/>
      <x:c r="M410" s="17"/>
      <x:c r="N410" s="17"/>
    </x:row>
    <x:row r="411" ht="21" customHeight="1">
      <x:c r="A411" s="27" t="d">
        <x:v>2026-08-10T00:00:00.000Z</x:v>
      </x:c>
      <x:c r="B411" s="22" t="n">
        <x:f>SUMIFS('Cash'!$C$5:$C$97,'Cash'!$A$5:$A$97,"&lt;="&amp;A411)</x:f>
        <x:v>1622546</x:v>
      </x:c>
      <x:c r="C411" s="22" t="n">
        <x:f>SUMIFS('Cash'!$C$5:$C$97,'Cash'!$A$5:$A$97,A411)</x:f>
        <x:v>0</x:v>
      </x:c>
      <x:c r="D411" s="22" t="n">
        <x:f>SUMIFS('Cash'!$C$5:$C$97,'Cash'!$A$5:$A$97,"&lt;="&amp;A411,'Cash'!$B$5:$B$97,"EXTERNAL_FUNDING")</x:f>
        <x:v>82460619</x:v>
      </x:c>
      <x:c r="E411" s="22" t="n">
        <x:f>SUMIFS('Cash'!$C$5:$C$97,'Cash'!$A$5:$A$97,"&lt;="&amp;A411,'Cash'!$B$5:$B$97,"DIVIDEND_NET")</x:f>
        <x:v>1106750</x:v>
      </x:c>
      <x:c r="F411" s="30" t="str">
        <x:v>n.a.</x:v>
      </x:c>
      <x:c r="G411" s="30" t="str">
        <x:v>n.a.</x:v>
      </x:c>
      <x:c r="H411" s="30" t="str">
        <x:v>n.a.</x:v>
      </x:c>
      <x:c r="I411" s="30" t="str">
        <x:f>IF(COUNT(B411,F411:H411)=4,B411+F411+G411-H411,"n.a.")</x:f>
        <x:v>n.a.</x:v>
      </x:c>
      <x:c r="J411" s="30" t="str">
        <x:v>n.a.</x:v>
      </x:c>
      <x:c r="K411" s="17"/>
      <x:c r="L411" s="17"/>
      <x:c r="M411" s="17"/>
      <x:c r="N411" s="17"/>
    </x:row>
    <x:row r="412" ht="21" customHeight="1">
      <x:c r="A412" s="27" t="d">
        <x:v>2026-08-11T00:00:00.000Z</x:v>
      </x:c>
      <x:c r="B412" s="22" t="n">
        <x:f>SUMIFS('Cash'!$C$5:$C$97,'Cash'!$A$5:$A$97,"&lt;="&amp;A412)</x:f>
        <x:v>1622546</x:v>
      </x:c>
      <x:c r="C412" s="22" t="n">
        <x:f>SUMIFS('Cash'!$C$5:$C$97,'Cash'!$A$5:$A$97,A412)</x:f>
        <x:v>0</x:v>
      </x:c>
      <x:c r="D412" s="22" t="n">
        <x:f>SUMIFS('Cash'!$C$5:$C$97,'Cash'!$A$5:$A$97,"&lt;="&amp;A412,'Cash'!$B$5:$B$97,"EXTERNAL_FUNDING")</x:f>
        <x:v>82460619</x:v>
      </x:c>
      <x:c r="E412" s="22" t="n">
        <x:f>SUMIFS('Cash'!$C$5:$C$97,'Cash'!$A$5:$A$97,"&lt;="&amp;A412,'Cash'!$B$5:$B$97,"DIVIDEND_NET")</x:f>
        <x:v>1106750</x:v>
      </x:c>
      <x:c r="F412" s="30" t="str">
        <x:v>n.a.</x:v>
      </x:c>
      <x:c r="G412" s="30" t="str">
        <x:v>n.a.</x:v>
      </x:c>
      <x:c r="H412" s="30" t="str">
        <x:v>n.a.</x:v>
      </x:c>
      <x:c r="I412" s="30" t="str">
        <x:f>IF(COUNT(B412,F412:H412)=4,B412+F412+G412-H412,"n.a.")</x:f>
        <x:v>n.a.</x:v>
      </x:c>
      <x:c r="J412" s="30" t="str">
        <x:v>n.a.</x:v>
      </x:c>
      <x:c r="K412" s="17"/>
      <x:c r="L412" s="17"/>
      <x:c r="M412" s="17"/>
      <x:c r="N412" s="17"/>
    </x:row>
    <x:row r="413" ht="21" customHeight="1">
      <x:c r="A413" s="27" t="d">
        <x:v>2026-08-12T00:00:00.000Z</x:v>
      </x:c>
      <x:c r="B413" s="22" t="n">
        <x:f>SUMIFS('Cash'!$C$5:$C$97,'Cash'!$A$5:$A$97,"&lt;="&amp;A413)</x:f>
        <x:v>1622546</x:v>
      </x:c>
      <x:c r="C413" s="22" t="n">
        <x:f>SUMIFS('Cash'!$C$5:$C$97,'Cash'!$A$5:$A$97,A413)</x:f>
        <x:v>0</x:v>
      </x:c>
      <x:c r="D413" s="22" t="n">
        <x:f>SUMIFS('Cash'!$C$5:$C$97,'Cash'!$A$5:$A$97,"&lt;="&amp;A413,'Cash'!$B$5:$B$97,"EXTERNAL_FUNDING")</x:f>
        <x:v>82460619</x:v>
      </x:c>
      <x:c r="E413" s="22" t="n">
        <x:f>SUMIFS('Cash'!$C$5:$C$97,'Cash'!$A$5:$A$97,"&lt;="&amp;A413,'Cash'!$B$5:$B$97,"DIVIDEND_NET")</x:f>
        <x:v>1106750</x:v>
      </x:c>
      <x:c r="F413" s="30" t="str">
        <x:v>n.a.</x:v>
      </x:c>
      <x:c r="G413" s="30" t="str">
        <x:v>n.a.</x:v>
      </x:c>
      <x:c r="H413" s="30" t="str">
        <x:v>n.a.</x:v>
      </x:c>
      <x:c r="I413" s="30" t="str">
        <x:f>IF(COUNT(B413,F413:H413)=4,B413+F413+G413-H413,"n.a.")</x:f>
        <x:v>n.a.</x:v>
      </x:c>
      <x:c r="J413" s="30" t="str">
        <x:v>n.a.</x:v>
      </x:c>
      <x:c r="K413" s="17"/>
      <x:c r="L413" s="17"/>
      <x:c r="M413" s="17"/>
      <x:c r="N413" s="17"/>
    </x:row>
    <x:row r="414" ht="21" customHeight="1">
      <x:c r="A414" s="27" t="d">
        <x:v>2026-08-13T00:00:00.000Z</x:v>
      </x:c>
      <x:c r="B414" s="22" t="n">
        <x:f>SUMIFS('Cash'!$C$5:$C$97,'Cash'!$A$5:$A$97,"&lt;="&amp;A414)</x:f>
        <x:v>1622546</x:v>
      </x:c>
      <x:c r="C414" s="22" t="n">
        <x:f>SUMIFS('Cash'!$C$5:$C$97,'Cash'!$A$5:$A$97,A414)</x:f>
        <x:v>0</x:v>
      </x:c>
      <x:c r="D414" s="22" t="n">
        <x:f>SUMIFS('Cash'!$C$5:$C$97,'Cash'!$A$5:$A$97,"&lt;="&amp;A414,'Cash'!$B$5:$B$97,"EXTERNAL_FUNDING")</x:f>
        <x:v>82460619</x:v>
      </x:c>
      <x:c r="E414" s="22" t="n">
        <x:f>SUMIFS('Cash'!$C$5:$C$97,'Cash'!$A$5:$A$97,"&lt;="&amp;A414,'Cash'!$B$5:$B$97,"DIVIDEND_NET")</x:f>
        <x:v>1106750</x:v>
      </x:c>
      <x:c r="F414" s="30" t="str">
        <x:v>n.a.</x:v>
      </x:c>
      <x:c r="G414" s="30" t="str">
        <x:v>n.a.</x:v>
      </x:c>
      <x:c r="H414" s="30" t="str">
        <x:v>n.a.</x:v>
      </x:c>
      <x:c r="I414" s="30" t="str">
        <x:f>IF(COUNT(B414,F414:H414)=4,B414+F414+G414-H414,"n.a.")</x:f>
        <x:v>n.a.</x:v>
      </x:c>
      <x:c r="J414" s="30" t="str">
        <x:v>n.a.</x:v>
      </x:c>
      <x:c r="K414" s="17"/>
      <x:c r="L414" s="17"/>
      <x:c r="M414" s="17"/>
      <x:c r="N414" s="17"/>
    </x:row>
    <x:row r="415" ht="21" customHeight="1">
      <x:c r="A415" s="27" t="d">
        <x:v>2026-08-14T00:00:00.000Z</x:v>
      </x:c>
      <x:c r="B415" s="22" t="n">
        <x:f>SUMIFS('Cash'!$C$5:$C$97,'Cash'!$A$5:$A$97,"&lt;="&amp;A415)</x:f>
        <x:v>1622546</x:v>
      </x:c>
      <x:c r="C415" s="22" t="n">
        <x:f>SUMIFS('Cash'!$C$5:$C$97,'Cash'!$A$5:$A$97,A415)</x:f>
        <x:v>0</x:v>
      </x:c>
      <x:c r="D415" s="22" t="n">
        <x:f>SUMIFS('Cash'!$C$5:$C$97,'Cash'!$A$5:$A$97,"&lt;="&amp;A415,'Cash'!$B$5:$B$97,"EXTERNAL_FUNDING")</x:f>
        <x:v>82460619</x:v>
      </x:c>
      <x:c r="E415" s="22" t="n">
        <x:f>SUMIFS('Cash'!$C$5:$C$97,'Cash'!$A$5:$A$97,"&lt;="&amp;A415,'Cash'!$B$5:$B$97,"DIVIDEND_NET")</x:f>
        <x:v>1106750</x:v>
      </x:c>
      <x:c r="F415" s="30" t="str">
        <x:v>n.a.</x:v>
      </x:c>
      <x:c r="G415" s="30" t="str">
        <x:v>n.a.</x:v>
      </x:c>
      <x:c r="H415" s="30" t="str">
        <x:v>n.a.</x:v>
      </x:c>
      <x:c r="I415" s="30" t="str">
        <x:f>IF(COUNT(B415,F415:H415)=4,B415+F415+G415-H415,"n.a.")</x:f>
        <x:v>n.a.</x:v>
      </x:c>
      <x:c r="J415" s="30" t="str">
        <x:v>n.a.</x:v>
      </x:c>
      <x:c r="K415" s="17"/>
      <x:c r="L415" s="17"/>
      <x:c r="M415" s="17"/>
      <x:c r="N415" s="17"/>
    </x:row>
    <x:row r="416" ht="21" customHeight="1">
      <x:c r="A416" s="27" t="d">
        <x:v>2026-08-15T00:00:00.000Z</x:v>
      </x:c>
      <x:c r="B416" s="22" t="n">
        <x:f>SUMIFS('Cash'!$C$5:$C$97,'Cash'!$A$5:$A$97,"&lt;="&amp;A416)</x:f>
        <x:v>1622546</x:v>
      </x:c>
      <x:c r="C416" s="22" t="n">
        <x:f>SUMIFS('Cash'!$C$5:$C$97,'Cash'!$A$5:$A$97,A416)</x:f>
        <x:v>0</x:v>
      </x:c>
      <x:c r="D416" s="22" t="n">
        <x:f>SUMIFS('Cash'!$C$5:$C$97,'Cash'!$A$5:$A$97,"&lt;="&amp;A416,'Cash'!$B$5:$B$97,"EXTERNAL_FUNDING")</x:f>
        <x:v>82460619</x:v>
      </x:c>
      <x:c r="E416" s="22" t="n">
        <x:f>SUMIFS('Cash'!$C$5:$C$97,'Cash'!$A$5:$A$97,"&lt;="&amp;A416,'Cash'!$B$5:$B$97,"DIVIDEND_NET")</x:f>
        <x:v>1106750</x:v>
      </x:c>
      <x:c r="F416" s="30" t="str">
        <x:v>n.a.</x:v>
      </x:c>
      <x:c r="G416" s="30" t="str">
        <x:v>n.a.</x:v>
      </x:c>
      <x:c r="H416" s="30" t="str">
        <x:v>n.a.</x:v>
      </x:c>
      <x:c r="I416" s="30" t="str">
        <x:f>IF(COUNT(B416,F416:H416)=4,B416+F416+G416-H416,"n.a.")</x:f>
        <x:v>n.a.</x:v>
      </x:c>
      <x:c r="J416" s="30" t="str">
        <x:v>n.a.</x:v>
      </x:c>
      <x:c r="K416" s="17"/>
      <x:c r="L416" s="17"/>
      <x:c r="M416" s="17"/>
      <x:c r="N416" s="17"/>
    </x:row>
    <x:row r="417" ht="21" customHeight="1">
      <x:c r="A417" s="27" t="d">
        <x:v>2026-08-16T00:00:00.000Z</x:v>
      </x:c>
      <x:c r="B417" s="22" t="n">
        <x:f>SUMIFS('Cash'!$C$5:$C$97,'Cash'!$A$5:$A$97,"&lt;="&amp;A417)</x:f>
        <x:v>1622546</x:v>
      </x:c>
      <x:c r="C417" s="22" t="n">
        <x:f>SUMIFS('Cash'!$C$5:$C$97,'Cash'!$A$5:$A$97,A417)</x:f>
        <x:v>0</x:v>
      </x:c>
      <x:c r="D417" s="22" t="n">
        <x:f>SUMIFS('Cash'!$C$5:$C$97,'Cash'!$A$5:$A$97,"&lt;="&amp;A417,'Cash'!$B$5:$B$97,"EXTERNAL_FUNDING")</x:f>
        <x:v>82460619</x:v>
      </x:c>
      <x:c r="E417" s="22" t="n">
        <x:f>SUMIFS('Cash'!$C$5:$C$97,'Cash'!$A$5:$A$97,"&lt;="&amp;A417,'Cash'!$B$5:$B$97,"DIVIDEND_NET")</x:f>
        <x:v>1106750</x:v>
      </x:c>
      <x:c r="F417" s="30" t="str">
        <x:v>n.a.</x:v>
      </x:c>
      <x:c r="G417" s="30" t="str">
        <x:v>n.a.</x:v>
      </x:c>
      <x:c r="H417" s="30" t="str">
        <x:v>n.a.</x:v>
      </x:c>
      <x:c r="I417" s="30" t="str">
        <x:f>IF(COUNT(B417,F417:H417)=4,B417+F417+G417-H417,"n.a.")</x:f>
        <x:v>n.a.</x:v>
      </x:c>
      <x:c r="J417" s="30" t="str">
        <x:v>n.a.</x:v>
      </x:c>
      <x:c r="K417" s="17"/>
      <x:c r="L417" s="17"/>
      <x:c r="M417" s="17"/>
      <x:c r="N417" s="17"/>
    </x:row>
    <x:row r="418" ht="21" customHeight="1">
      <x:c r="A418" s="27" t="d">
        <x:v>2026-08-17T00:00:00.000Z</x:v>
      </x:c>
      <x:c r="B418" s="22" t="n">
        <x:f>SUMIFS('Cash'!$C$5:$C$97,'Cash'!$A$5:$A$97,"&lt;="&amp;A418)</x:f>
        <x:v>205</x:v>
      </x:c>
      <x:c r="C418" s="22" t="n">
        <x:f>SUMIFS('Cash'!$C$5:$C$97,'Cash'!$A$5:$A$97,A418)</x:f>
        <x:v>-1622341</x:v>
      </x:c>
      <x:c r="D418" s="22" t="n">
        <x:f>SUMIFS('Cash'!$C$5:$C$97,'Cash'!$A$5:$A$97,"&lt;="&amp;A418,'Cash'!$B$5:$B$97,"EXTERNAL_FUNDING")</x:f>
        <x:v>82848881</x:v>
      </x:c>
      <x:c r="E418" s="22" t="n">
        <x:f>SUMIFS('Cash'!$C$5:$C$97,'Cash'!$A$5:$A$97,"&lt;="&amp;A418,'Cash'!$B$5:$B$97,"DIVIDEND_NET")</x:f>
        <x:v>1106750</x:v>
      </x:c>
      <x:c r="F418" s="30" t="str">
        <x:v>n.a.</x:v>
      </x:c>
      <x:c r="G418" s="30" t="str">
        <x:v>n.a.</x:v>
      </x:c>
      <x:c r="H418" s="30" t="str">
        <x:v>n.a.</x:v>
      </x:c>
      <x:c r="I418" s="30" t="str">
        <x:f>IF(COUNT(B418,F418:H418)=4,B418+F418+G418-H418,"n.a.")</x:f>
        <x:v>n.a.</x:v>
      </x:c>
      <x:c r="J418" s="30" t="str">
        <x:v>n.a.</x:v>
      </x:c>
      <x:c r="K418" s="17"/>
      <x:c r="L418" s="17"/>
      <x:c r="M418" s="17"/>
      <x:c r="N418" s="17"/>
    </x:row>
    <x:row r="419" ht="21" customHeight="1">
      <x:c r="A419" s="27" t="d">
        <x:v>2026-08-18T00:00:00.000Z</x:v>
      </x:c>
      <x:c r="B419" s="22" t="n">
        <x:f>SUMIFS('Cash'!$C$5:$C$97,'Cash'!$A$5:$A$97,"&lt;="&amp;A419)</x:f>
        <x:v>205</x:v>
      </x:c>
      <x:c r="C419" s="22" t="n">
        <x:f>SUMIFS('Cash'!$C$5:$C$97,'Cash'!$A$5:$A$97,A419)</x:f>
        <x:v>0</x:v>
      </x:c>
      <x:c r="D419" s="22" t="n">
        <x:f>SUMIFS('Cash'!$C$5:$C$97,'Cash'!$A$5:$A$97,"&lt;="&amp;A419,'Cash'!$B$5:$B$97,"EXTERNAL_FUNDING")</x:f>
        <x:v>82848881</x:v>
      </x:c>
      <x:c r="E419" s="22" t="n">
        <x:f>SUMIFS('Cash'!$C$5:$C$97,'Cash'!$A$5:$A$97,"&lt;="&amp;A419,'Cash'!$B$5:$B$97,"DIVIDEND_NET")</x:f>
        <x:v>1106750</x:v>
      </x:c>
      <x:c r="F419" s="30" t="str">
        <x:v>n.a.</x:v>
      </x:c>
      <x:c r="G419" s="30" t="str">
        <x:v>n.a.</x:v>
      </x:c>
      <x:c r="H419" s="30" t="str">
        <x:v>n.a.</x:v>
      </x:c>
      <x:c r="I419" s="30" t="str">
        <x:f>IF(COUNT(B419,F419:H419)=4,B419+F419+G419-H419,"n.a.")</x:f>
        <x:v>n.a.</x:v>
      </x:c>
      <x:c r="J419" s="30" t="str">
        <x:v>n.a.</x:v>
      </x:c>
      <x:c r="K419" s="17"/>
      <x:c r="L419" s="17"/>
      <x:c r="M419" s="17"/>
      <x:c r="N419" s="17"/>
    </x:row>
    <x:row r="420" ht="21" customHeight="1">
      <x:c r="A420" s="27" t="d">
        <x:v>2026-08-19T00:00:00.000Z</x:v>
      </x:c>
      <x:c r="B420" s="22" t="n">
        <x:f>SUMIFS('Cash'!$C$5:$C$97,'Cash'!$A$5:$A$97,"&lt;="&amp;A420)</x:f>
        <x:v>205</x:v>
      </x:c>
      <x:c r="C420" s="22" t="n">
        <x:f>SUMIFS('Cash'!$C$5:$C$97,'Cash'!$A$5:$A$97,A420)</x:f>
        <x:v>0</x:v>
      </x:c>
      <x:c r="D420" s="22" t="n">
        <x:f>SUMIFS('Cash'!$C$5:$C$97,'Cash'!$A$5:$A$97,"&lt;="&amp;A420,'Cash'!$B$5:$B$97,"EXTERNAL_FUNDING")</x:f>
        <x:v>82848881</x:v>
      </x:c>
      <x:c r="E420" s="22" t="n">
        <x:f>SUMIFS('Cash'!$C$5:$C$97,'Cash'!$A$5:$A$97,"&lt;="&amp;A420,'Cash'!$B$5:$B$97,"DIVIDEND_NET")</x:f>
        <x:v>1106750</x:v>
      </x:c>
      <x:c r="F420" s="30" t="str">
        <x:v>n.a.</x:v>
      </x:c>
      <x:c r="G420" s="30" t="str">
        <x:v>n.a.</x:v>
      </x:c>
      <x:c r="H420" s="30" t="str">
        <x:v>n.a.</x:v>
      </x:c>
      <x:c r="I420" s="30" t="str">
        <x:f>IF(COUNT(B420,F420:H420)=4,B420+F420+G420-H420,"n.a.")</x:f>
        <x:v>n.a.</x:v>
      </x:c>
      <x:c r="J420" s="30" t="str">
        <x:v>n.a.</x:v>
      </x:c>
      <x:c r="K420" s="17"/>
      <x:c r="L420" s="17"/>
      <x:c r="M420" s="17"/>
      <x:c r="N420" s="17"/>
    </x:row>
    <x:row r="421" ht="21" customHeight="1">
      <x:c r="A421" s="27" t="d">
        <x:v>2026-08-20T00:00:00.000Z</x:v>
      </x:c>
      <x:c r="B421" s="22" t="n">
        <x:f>SUMIFS('Cash'!$C$5:$C$97,'Cash'!$A$5:$A$97,"&lt;="&amp;A421)</x:f>
        <x:v>205</x:v>
      </x:c>
      <x:c r="C421" s="22" t="n">
        <x:f>SUMIFS('Cash'!$C$5:$C$97,'Cash'!$A$5:$A$97,A421)</x:f>
        <x:v>0</x:v>
      </x:c>
      <x:c r="D421" s="22" t="n">
        <x:f>SUMIFS('Cash'!$C$5:$C$97,'Cash'!$A$5:$A$97,"&lt;="&amp;A421,'Cash'!$B$5:$B$97,"EXTERNAL_FUNDING")</x:f>
        <x:v>82848881</x:v>
      </x:c>
      <x:c r="E421" s="22" t="n">
        <x:f>SUMIFS('Cash'!$C$5:$C$97,'Cash'!$A$5:$A$97,"&lt;="&amp;A421,'Cash'!$B$5:$B$97,"DIVIDEND_NET")</x:f>
        <x:v>1106750</x:v>
      </x:c>
      <x:c r="F421" s="30" t="str">
        <x:v>n.a.</x:v>
      </x:c>
      <x:c r="G421" s="30" t="str">
        <x:v>n.a.</x:v>
      </x:c>
      <x:c r="H421" s="30" t="str">
        <x:v>n.a.</x:v>
      </x:c>
      <x:c r="I421" s="30" t="str">
        <x:f>IF(COUNT(B421,F421:H421)=4,B421+F421+G421-H421,"n.a.")</x:f>
        <x:v>n.a.</x:v>
      </x:c>
      <x:c r="J421" s="30" t="str">
        <x:v>n.a.</x:v>
      </x:c>
      <x:c r="K421" s="17"/>
      <x:c r="L421" s="17"/>
      <x:c r="M421" s="17"/>
      <x:c r="N421" s="17"/>
    </x:row>
    <x:row r="422" ht="21" customHeight="1">
      <x:c r="A422" s="27" t="d">
        <x:v>2026-08-21T00:00:00.000Z</x:v>
      </x:c>
      <x:c r="B422" s="22" t="n">
        <x:f>SUMIFS('Cash'!$C$5:$C$97,'Cash'!$A$5:$A$97,"&lt;="&amp;A422)</x:f>
        <x:v>205</x:v>
      </x:c>
      <x:c r="C422" s="22" t="n">
        <x:f>SUMIFS('Cash'!$C$5:$C$97,'Cash'!$A$5:$A$97,A422)</x:f>
        <x:v>0</x:v>
      </x:c>
      <x:c r="D422" s="22" t="n">
        <x:f>SUMIFS('Cash'!$C$5:$C$97,'Cash'!$A$5:$A$97,"&lt;="&amp;A422,'Cash'!$B$5:$B$97,"EXTERNAL_FUNDING")</x:f>
        <x:v>82848881</x:v>
      </x:c>
      <x:c r="E422" s="22" t="n">
        <x:f>SUMIFS('Cash'!$C$5:$C$97,'Cash'!$A$5:$A$97,"&lt;="&amp;A422,'Cash'!$B$5:$B$97,"DIVIDEND_NET")</x:f>
        <x:v>1106750</x:v>
      </x:c>
      <x:c r="F422" s="30" t="str">
        <x:v>n.a.</x:v>
      </x:c>
      <x:c r="G422" s="30" t="str">
        <x:v>n.a.</x:v>
      </x:c>
      <x:c r="H422" s="30" t="str">
        <x:v>n.a.</x:v>
      </x:c>
      <x:c r="I422" s="30" t="str">
        <x:f>IF(COUNT(B422,F422:H422)=4,B422+F422+G422-H422,"n.a.")</x:f>
        <x:v>n.a.</x:v>
      </x:c>
      <x:c r="J422" s="30" t="str">
        <x:v>n.a.</x:v>
      </x:c>
      <x:c r="K422" s="17"/>
      <x:c r="L422" s="17"/>
      <x:c r="M422" s="17"/>
      <x:c r="N422" s="17"/>
    </x:row>
    <x:row r="423" ht="21" customHeight="1">
      <x:c r="A423" s="27" t="d">
        <x:v>2026-08-22T00:00:00.000Z</x:v>
      </x:c>
      <x:c r="B423" s="22" t="n">
        <x:f>SUMIFS('Cash'!$C$5:$C$97,'Cash'!$A$5:$A$97,"&lt;="&amp;A423)</x:f>
        <x:v>205</x:v>
      </x:c>
      <x:c r="C423" s="22" t="n">
        <x:f>SUMIFS('Cash'!$C$5:$C$97,'Cash'!$A$5:$A$97,A423)</x:f>
        <x:v>0</x:v>
      </x:c>
      <x:c r="D423" s="22" t="n">
        <x:f>SUMIFS('Cash'!$C$5:$C$97,'Cash'!$A$5:$A$97,"&lt;="&amp;A423,'Cash'!$B$5:$B$97,"EXTERNAL_FUNDING")</x:f>
        <x:v>82848881</x:v>
      </x:c>
      <x:c r="E423" s="22" t="n">
        <x:f>SUMIFS('Cash'!$C$5:$C$97,'Cash'!$A$5:$A$97,"&lt;="&amp;A423,'Cash'!$B$5:$B$97,"DIVIDEND_NET")</x:f>
        <x:v>1106750</x:v>
      </x:c>
      <x:c r="F423" s="30" t="str">
        <x:v>n.a.</x:v>
      </x:c>
      <x:c r="G423" s="30" t="str">
        <x:v>n.a.</x:v>
      </x:c>
      <x:c r="H423" s="30" t="str">
        <x:v>n.a.</x:v>
      </x:c>
      <x:c r="I423" s="30" t="str">
        <x:f>IF(COUNT(B423,F423:H423)=4,B423+F423+G423-H423,"n.a.")</x:f>
        <x:v>n.a.</x:v>
      </x:c>
      <x:c r="J423" s="30" t="str">
        <x:v>n.a.</x:v>
      </x:c>
      <x:c r="K423" s="17"/>
      <x:c r="L423" s="17"/>
      <x:c r="M423" s="17"/>
      <x:c r="N423" s="17"/>
    </x:row>
    <x:row r="424" ht="21" customHeight="1">
      <x:c r="A424" s="27" t="d">
        <x:v>2026-08-23T00:00:00.000Z</x:v>
      </x:c>
      <x:c r="B424" s="22" t="n">
        <x:f>SUMIFS('Cash'!$C$5:$C$97,'Cash'!$A$5:$A$97,"&lt;="&amp;A424)</x:f>
        <x:v>205</x:v>
      </x:c>
      <x:c r="C424" s="22" t="n">
        <x:f>SUMIFS('Cash'!$C$5:$C$97,'Cash'!$A$5:$A$97,A424)</x:f>
        <x:v>0</x:v>
      </x:c>
      <x:c r="D424" s="22" t="n">
        <x:f>SUMIFS('Cash'!$C$5:$C$97,'Cash'!$A$5:$A$97,"&lt;="&amp;A424,'Cash'!$B$5:$B$97,"EXTERNAL_FUNDING")</x:f>
        <x:v>82848881</x:v>
      </x:c>
      <x:c r="E424" s="22" t="n">
        <x:f>SUMIFS('Cash'!$C$5:$C$97,'Cash'!$A$5:$A$97,"&lt;="&amp;A424,'Cash'!$B$5:$B$97,"DIVIDEND_NET")</x:f>
        <x:v>1106750</x:v>
      </x:c>
      <x:c r="F424" s="30" t="str">
        <x:v>n.a.</x:v>
      </x:c>
      <x:c r="G424" s="30" t="str">
        <x:v>n.a.</x:v>
      </x:c>
      <x:c r="H424" s="30" t="str">
        <x:v>n.a.</x:v>
      </x:c>
      <x:c r="I424" s="30" t="str">
        <x:f>IF(COUNT(B424,F424:H424)=4,B424+F424+G424-H424,"n.a.")</x:f>
        <x:v>n.a.</x:v>
      </x:c>
      <x:c r="J424" s="30" t="str">
        <x:v>n.a.</x:v>
      </x:c>
      <x:c r="K424" s="17"/>
      <x:c r="L424" s="17"/>
      <x:c r="M424" s="17"/>
      <x:c r="N424" s="17"/>
    </x:row>
    <x:row r="425" ht="21" customHeight="1">
      <x:c r="A425" s="27" t="d">
        <x:v>2026-08-24T00:00:00.000Z</x:v>
      </x:c>
      <x:c r="B425" s="22" t="n">
        <x:f>SUMIFS('Cash'!$C$5:$C$97,'Cash'!$A$5:$A$97,"&lt;="&amp;A425)</x:f>
        <x:v>205</x:v>
      </x:c>
      <x:c r="C425" s="22" t="n">
        <x:f>SUMIFS('Cash'!$C$5:$C$97,'Cash'!$A$5:$A$97,A425)</x:f>
        <x:v>0</x:v>
      </x:c>
      <x:c r="D425" s="22" t="n">
        <x:f>SUMIFS('Cash'!$C$5:$C$97,'Cash'!$A$5:$A$97,"&lt;="&amp;A425,'Cash'!$B$5:$B$97,"EXTERNAL_FUNDING")</x:f>
        <x:v>82848881</x:v>
      </x:c>
      <x:c r="E425" s="22" t="n">
        <x:f>SUMIFS('Cash'!$C$5:$C$97,'Cash'!$A$5:$A$97,"&lt;="&amp;A425,'Cash'!$B$5:$B$97,"DIVIDEND_NET")</x:f>
        <x:v>1106750</x:v>
      </x:c>
      <x:c r="F425" s="30" t="str">
        <x:v>n.a.</x:v>
      </x:c>
      <x:c r="G425" s="30" t="str">
        <x:v>n.a.</x:v>
      </x:c>
      <x:c r="H425" s="30" t="str">
        <x:v>n.a.</x:v>
      </x:c>
      <x:c r="I425" s="30" t="str">
        <x:f>IF(COUNT(B425,F425:H425)=4,B425+F425+G425-H425,"n.a.")</x:f>
        <x:v>n.a.</x:v>
      </x:c>
      <x:c r="J425" s="30" t="str">
        <x:v>n.a.</x:v>
      </x:c>
      <x:c r="K425" s="17"/>
      <x:c r="L425" s="17"/>
      <x:c r="M425" s="17"/>
      <x:c r="N425" s="17"/>
    </x:row>
    <x:row r="426" ht="21" customHeight="1">
      <x:c r="A426" s="27" t="d">
        <x:v>2026-08-25T00:00:00.000Z</x:v>
      </x:c>
      <x:c r="B426" s="22" t="n">
        <x:f>SUMIFS('Cash'!$C$5:$C$97,'Cash'!$A$5:$A$97,"&lt;="&amp;A426)</x:f>
        <x:v>205</x:v>
      </x:c>
      <x:c r="C426" s="22" t="n">
        <x:f>SUMIFS('Cash'!$C$5:$C$97,'Cash'!$A$5:$A$97,A426)</x:f>
        <x:v>0</x:v>
      </x:c>
      <x:c r="D426" s="22" t="n">
        <x:f>SUMIFS('Cash'!$C$5:$C$97,'Cash'!$A$5:$A$97,"&lt;="&amp;A426,'Cash'!$B$5:$B$97,"EXTERNAL_FUNDING")</x:f>
        <x:v>82848881</x:v>
      </x:c>
      <x:c r="E426" s="22" t="n">
        <x:f>SUMIFS('Cash'!$C$5:$C$97,'Cash'!$A$5:$A$97,"&lt;="&amp;A426,'Cash'!$B$5:$B$97,"DIVIDEND_NET")</x:f>
        <x:v>1106750</x:v>
      </x:c>
      <x:c r="F426" s="30" t="str">
        <x:v>n.a.</x:v>
      </x:c>
      <x:c r="G426" s="30" t="str">
        <x:v>n.a.</x:v>
      </x:c>
      <x:c r="H426" s="30" t="str">
        <x:v>n.a.</x:v>
      </x:c>
      <x:c r="I426" s="30" t="str">
        <x:f>IF(COUNT(B426,F426:H426)=4,B426+F426+G426-H426,"n.a.")</x:f>
        <x:v>n.a.</x:v>
      </x:c>
      <x:c r="J426" s="30" t="str">
        <x:v>n.a.</x:v>
      </x:c>
      <x:c r="K426" s="17"/>
      <x:c r="L426" s="17"/>
      <x:c r="M426" s="17"/>
      <x:c r="N426" s="17"/>
    </x:row>
    <x:row r="427" ht="21" customHeight="1">
      <x:c r="A427" s="27" t="d">
        <x:v>2026-08-26T00:00:00.000Z</x:v>
      </x:c>
      <x:c r="B427" s="22" t="n">
        <x:f>SUMIFS('Cash'!$C$5:$C$97,'Cash'!$A$5:$A$97,"&lt;="&amp;A427)</x:f>
        <x:v>205</x:v>
      </x:c>
      <x:c r="C427" s="22" t="n">
        <x:f>SUMIFS('Cash'!$C$5:$C$97,'Cash'!$A$5:$A$97,A427)</x:f>
        <x:v>0</x:v>
      </x:c>
      <x:c r="D427" s="22" t="n">
        <x:f>SUMIFS('Cash'!$C$5:$C$97,'Cash'!$A$5:$A$97,"&lt;="&amp;A427,'Cash'!$B$5:$B$97,"EXTERNAL_FUNDING")</x:f>
        <x:v>82848881</x:v>
      </x:c>
      <x:c r="E427" s="22" t="n">
        <x:f>SUMIFS('Cash'!$C$5:$C$97,'Cash'!$A$5:$A$97,"&lt;="&amp;A427,'Cash'!$B$5:$B$97,"DIVIDEND_NET")</x:f>
        <x:v>1106750</x:v>
      </x:c>
      <x:c r="F427" s="30" t="str">
        <x:v>n.a.</x:v>
      </x:c>
      <x:c r="G427" s="30" t="str">
        <x:v>n.a.</x:v>
      </x:c>
      <x:c r="H427" s="30" t="str">
        <x:v>n.a.</x:v>
      </x:c>
      <x:c r="I427" s="30" t="str">
        <x:f>IF(COUNT(B427,F427:H427)=4,B427+F427+G427-H427,"n.a.")</x:f>
        <x:v>n.a.</x:v>
      </x:c>
      <x:c r="J427" s="30" t="str">
        <x:v>n.a.</x:v>
      </x:c>
      <x:c r="K427" s="17"/>
      <x:c r="L427" s="17"/>
      <x:c r="M427" s="17"/>
      <x:c r="N427" s="17"/>
    </x:row>
    <x:row r="428" ht="21" customHeight="1">
      <x:c r="A428" s="27" t="d">
        <x:v>2026-08-27T00:00:00.000Z</x:v>
      </x:c>
      <x:c r="B428" s="22" t="n">
        <x:f>SUMIFS('Cash'!$C$5:$C$97,'Cash'!$A$5:$A$97,"&lt;="&amp;A428)</x:f>
        <x:v>42955</x:v>
      </x:c>
      <x:c r="C428" s="22" t="n">
        <x:f>SUMIFS('Cash'!$C$5:$C$97,'Cash'!$A$5:$A$97,A428)</x:f>
        <x:v>42750</x:v>
      </x:c>
      <x:c r="D428" s="22" t="n">
        <x:f>SUMIFS('Cash'!$C$5:$C$97,'Cash'!$A$5:$A$97,"&lt;="&amp;A428,'Cash'!$B$5:$B$97,"EXTERNAL_FUNDING")</x:f>
        <x:v>82848881</x:v>
      </x:c>
      <x:c r="E428" s="22" t="n">
        <x:f>SUMIFS('Cash'!$C$5:$C$97,'Cash'!$A$5:$A$97,"&lt;="&amp;A428,'Cash'!$B$5:$B$97,"DIVIDEND_NET")</x:f>
        <x:v>1149500</x:v>
      </x:c>
      <x:c r="F428" s="30" t="str">
        <x:v>n.a.</x:v>
      </x:c>
      <x:c r="G428" s="30" t="str">
        <x:v>n.a.</x:v>
      </x:c>
      <x:c r="H428" s="30" t="str">
        <x:v>n.a.</x:v>
      </x:c>
      <x:c r="I428" s="30" t="str">
        <x:f>IF(COUNT(B428,F428:H428)=4,B428+F428+G428-H428,"n.a.")</x:f>
        <x:v>n.a.</x:v>
      </x:c>
      <x:c r="J428" s="30" t="str">
        <x:v>n.a.</x:v>
      </x:c>
      <x:c r="K428" s="17"/>
      <x:c r="L428" s="17"/>
      <x:c r="M428" s="17"/>
      <x:c r="N428" s="17"/>
    </x:row>
    <x:row r="429" ht="21" customHeight="1">
      <x:c r="A429" s="27" t="d">
        <x:v>2026-08-28T00:00:00.000Z</x:v>
      </x:c>
      <x:c r="B429" s="22" t="n">
        <x:f>SUMIFS('Cash'!$C$5:$C$97,'Cash'!$A$5:$A$97,"&lt;="&amp;A429)</x:f>
        <x:v>42807</x:v>
      </x:c>
      <x:c r="C429" s="22" t="n">
        <x:f>SUMIFS('Cash'!$C$5:$C$97,'Cash'!$A$5:$A$97,A429)</x:f>
        <x:v>-148</x:v>
      </x:c>
      <x:c r="D429" s="22" t="n">
        <x:f>SUMIFS('Cash'!$C$5:$C$97,'Cash'!$A$5:$A$97,"&lt;="&amp;A429,'Cash'!$B$5:$B$97,"EXTERNAL_FUNDING")</x:f>
        <x:v>82848881</x:v>
      </x:c>
      <x:c r="E429" s="22" t="n">
        <x:f>SUMIFS('Cash'!$C$5:$C$97,'Cash'!$A$5:$A$97,"&lt;="&amp;A429,'Cash'!$B$5:$B$97,"DIVIDEND_NET")</x:f>
        <x:v>1149500</x:v>
      </x:c>
      <x:c r="F429" s="30" t="str">
        <x:v>n.a.</x:v>
      </x:c>
      <x:c r="G429" s="30" t="str">
        <x:v>n.a.</x:v>
      </x:c>
      <x:c r="H429" s="30" t="str">
        <x:v>n.a.</x:v>
      </x:c>
      <x:c r="I429" s="30" t="str">
        <x:f>IF(COUNT(B429,F429:H429)=4,B429+F429+G429-H429,"n.a.")</x:f>
        <x:v>n.a.</x:v>
      </x:c>
      <x:c r="J429" s="30" t="str">
        <x:v>n.a.</x:v>
      </x:c>
      <x:c r="K429" s="17"/>
      <x:c r="L429" s="17"/>
      <x:c r="M429" s="17"/>
      <x:c r="N429" s="17"/>
    </x:row>
    <x:row r="430" ht="21" customHeight="1">
      <x:c r="A430" s="27" t="d">
        <x:v>2026-08-29T00:00:00.000Z</x:v>
      </x:c>
      <x:c r="B430" s="22" t="n">
        <x:f>SUMIFS('Cash'!$C$5:$C$97,'Cash'!$A$5:$A$97,"&lt;="&amp;A430)</x:f>
        <x:v>42807</x:v>
      </x:c>
      <x:c r="C430" s="22" t="n">
        <x:f>SUMIFS('Cash'!$C$5:$C$97,'Cash'!$A$5:$A$97,A430)</x:f>
        <x:v>0</x:v>
      </x:c>
      <x:c r="D430" s="22" t="n">
        <x:f>SUMIFS('Cash'!$C$5:$C$97,'Cash'!$A$5:$A$97,"&lt;="&amp;A430,'Cash'!$B$5:$B$97,"EXTERNAL_FUNDING")</x:f>
        <x:v>82848881</x:v>
      </x:c>
      <x:c r="E430" s="22" t="n">
        <x:f>SUMIFS('Cash'!$C$5:$C$97,'Cash'!$A$5:$A$97,"&lt;="&amp;A430,'Cash'!$B$5:$B$97,"DIVIDEND_NET")</x:f>
        <x:v>1149500</x:v>
      </x:c>
      <x:c r="F430" s="30" t="str">
        <x:v>n.a.</x:v>
      </x:c>
      <x:c r="G430" s="30" t="str">
        <x:v>n.a.</x:v>
      </x:c>
      <x:c r="H430" s="30" t="str">
        <x:v>n.a.</x:v>
      </x:c>
      <x:c r="I430" s="30" t="str">
        <x:f>IF(COUNT(B430,F430:H430)=4,B430+F430+G430-H430,"n.a.")</x:f>
        <x:v>n.a.</x:v>
      </x:c>
      <x:c r="J430" s="30" t="str">
        <x:v>n.a.</x:v>
      </x:c>
      <x:c r="K430" s="17"/>
      <x:c r="L430" s="17"/>
      <x:c r="M430" s="17"/>
      <x:c r="N430" s="17"/>
    </x:row>
    <x:row r="431" ht="21" customHeight="1">
      <x:c r="A431" s="27" t="d">
        <x:v>2026-08-30T00:00:00.000Z</x:v>
      </x:c>
      <x:c r="B431" s="22" t="n">
        <x:f>SUMIFS('Cash'!$C$5:$C$97,'Cash'!$A$5:$A$97,"&lt;="&amp;A431)</x:f>
        <x:v>42807</x:v>
      </x:c>
      <x:c r="C431" s="22" t="n">
        <x:f>SUMIFS('Cash'!$C$5:$C$97,'Cash'!$A$5:$A$97,A431)</x:f>
        <x:v>0</x:v>
      </x:c>
      <x:c r="D431" s="22" t="n">
        <x:f>SUMIFS('Cash'!$C$5:$C$97,'Cash'!$A$5:$A$97,"&lt;="&amp;A431,'Cash'!$B$5:$B$97,"EXTERNAL_FUNDING")</x:f>
        <x:v>82848881</x:v>
      </x:c>
      <x:c r="E431" s="22" t="n">
        <x:f>SUMIFS('Cash'!$C$5:$C$97,'Cash'!$A$5:$A$97,"&lt;="&amp;A431,'Cash'!$B$5:$B$97,"DIVIDEND_NET")</x:f>
        <x:v>1149500</x:v>
      </x:c>
      <x:c r="F431" s="30" t="str">
        <x:v>n.a.</x:v>
      </x:c>
      <x:c r="G431" s="30" t="str">
        <x:v>n.a.</x:v>
      </x:c>
      <x:c r="H431" s="30" t="str">
        <x:v>n.a.</x:v>
      </x:c>
      <x:c r="I431" s="30" t="str">
        <x:f>IF(COUNT(B431,F431:H431)=4,B431+F431+G431-H431,"n.a.")</x:f>
        <x:v>n.a.</x:v>
      </x:c>
      <x:c r="J431" s="30" t="str">
        <x:v>n.a.</x:v>
      </x:c>
      <x:c r="K431" s="17"/>
      <x:c r="L431" s="17"/>
      <x:c r="M431" s="17"/>
      <x:c r="N431" s="17"/>
    </x:row>
    <x:row r="432" ht="21" customHeight="1">
      <x:c r="A432" s="27" t="d">
        <x:v>2026-08-31T00:00:00.000Z</x:v>
      </x:c>
      <x:c r="B432" s="22" t="n">
        <x:f>SUMIFS('Cash'!$C$5:$C$97,'Cash'!$A$5:$A$97,"&lt;="&amp;A432)</x:f>
        <x:v>42807</x:v>
      </x:c>
      <x:c r="C432" s="22" t="n">
        <x:f>SUMIFS('Cash'!$C$5:$C$97,'Cash'!$A$5:$A$97,A432)</x:f>
        <x:v>0</x:v>
      </x:c>
      <x:c r="D432" s="22" t="n">
        <x:f>SUMIFS('Cash'!$C$5:$C$97,'Cash'!$A$5:$A$97,"&lt;="&amp;A432,'Cash'!$B$5:$B$97,"EXTERNAL_FUNDING")</x:f>
        <x:v>82848881</x:v>
      </x:c>
      <x:c r="E432" s="22" t="n">
        <x:f>SUMIFS('Cash'!$C$5:$C$97,'Cash'!$A$5:$A$97,"&lt;="&amp;A432,'Cash'!$B$5:$B$97,"DIVIDEND_NET")</x:f>
        <x:v>1149500</x:v>
      </x:c>
      <x:c r="F432" s="30" t="str">
        <x:v>n.a.</x:v>
      </x:c>
      <x:c r="G432" s="30" t="str">
        <x:v>n.a.</x:v>
      </x:c>
      <x:c r="H432" s="30" t="str">
        <x:v>n.a.</x:v>
      </x:c>
      <x:c r="I432" s="30" t="str">
        <x:f>IF(COUNT(B432,F432:H432)=4,B432+F432+G432-H432,"n.a.")</x:f>
        <x:v>n.a.</x:v>
      </x:c>
      <x:c r="J432" s="30" t="str">
        <x:v>n.a.</x:v>
      </x:c>
      <x:c r="K432" s="17"/>
      <x:c r="L432" s="17"/>
      <x:c r="M432" s="17"/>
      <x:c r="N432" s="17"/>
    </x:row>
    <x:row r="433" ht="21" customHeight="1">
      <x:c r="A433" s="27" t="d">
        <x:v>2026-09-01T00:00:00.000Z</x:v>
      </x:c>
      <x:c r="B433" s="22" t="n">
        <x:f>SUMIFS('Cash'!$C$5:$C$97,'Cash'!$A$5:$A$97,"&lt;="&amp;A433)</x:f>
        <x:v>42807</x:v>
      </x:c>
      <x:c r="C433" s="22" t="n">
        <x:f>SUMIFS('Cash'!$C$5:$C$97,'Cash'!$A$5:$A$97,A433)</x:f>
        <x:v>0</x:v>
      </x:c>
      <x:c r="D433" s="22" t="n">
        <x:f>SUMIFS('Cash'!$C$5:$C$97,'Cash'!$A$5:$A$97,"&lt;="&amp;A433,'Cash'!$B$5:$B$97,"EXTERNAL_FUNDING")</x:f>
        <x:v>82848881</x:v>
      </x:c>
      <x:c r="E433" s="22" t="n">
        <x:f>SUMIFS('Cash'!$C$5:$C$97,'Cash'!$A$5:$A$97,"&lt;="&amp;A433,'Cash'!$B$5:$B$97,"DIVIDEND_NET")</x:f>
        <x:v>1149500</x:v>
      </x:c>
      <x:c r="F433" s="30" t="str">
        <x:v>n.a.</x:v>
      </x:c>
      <x:c r="G433" s="30" t="str">
        <x:v>n.a.</x:v>
      </x:c>
      <x:c r="H433" s="30" t="str">
        <x:v>n.a.</x:v>
      </x:c>
      <x:c r="I433" s="30" t="str">
        <x:f>IF(COUNT(B433,F433:H433)=4,B433+F433+G433-H433,"n.a.")</x:f>
        <x:v>n.a.</x:v>
      </x:c>
      <x:c r="J433" s="30" t="str">
        <x:v>n.a.</x:v>
      </x:c>
      <x:c r="K433" s="17"/>
      <x:c r="L433" s="17"/>
      <x:c r="M433" s="17"/>
      <x:c r="N433" s="17"/>
    </x:row>
    <x:row r="434" ht="21" customHeight="1">
      <x:c r="A434" s="27" t="d">
        <x:v>2026-09-02T00:00:00.000Z</x:v>
      </x:c>
      <x:c r="B434" s="22" t="n">
        <x:f>SUMIFS('Cash'!$C$5:$C$97,'Cash'!$A$5:$A$97,"&lt;="&amp;A434)</x:f>
        <x:v>42807</x:v>
      </x:c>
      <x:c r="C434" s="22" t="n">
        <x:f>SUMIFS('Cash'!$C$5:$C$97,'Cash'!$A$5:$A$97,A434)</x:f>
        <x:v>0</x:v>
      </x:c>
      <x:c r="D434" s="22" t="n">
        <x:f>SUMIFS('Cash'!$C$5:$C$97,'Cash'!$A$5:$A$97,"&lt;="&amp;A434,'Cash'!$B$5:$B$97,"EXTERNAL_FUNDING")</x:f>
        <x:v>82848881</x:v>
      </x:c>
      <x:c r="E434" s="22" t="n">
        <x:f>SUMIFS('Cash'!$C$5:$C$97,'Cash'!$A$5:$A$97,"&lt;="&amp;A434,'Cash'!$B$5:$B$97,"DIVIDEND_NET")</x:f>
        <x:v>1149500</x:v>
      </x:c>
      <x:c r="F434" s="30" t="str">
        <x:v>n.a.</x:v>
      </x:c>
      <x:c r="G434" s="30" t="str">
        <x:v>n.a.</x:v>
      </x:c>
      <x:c r="H434" s="30" t="str">
        <x:v>n.a.</x:v>
      </x:c>
      <x:c r="I434" s="30" t="str">
        <x:f>IF(COUNT(B434,F434:H434)=4,B434+F434+G434-H434,"n.a.")</x:f>
        <x:v>n.a.</x:v>
      </x:c>
      <x:c r="J434" s="30" t="str">
        <x:v>n.a.</x:v>
      </x:c>
      <x:c r="K434" s="17"/>
      <x:c r="L434" s="17"/>
      <x:c r="M434" s="17"/>
      <x:c r="N434" s="17"/>
    </x:row>
    <x:row r="435" ht="21" customHeight="1">
      <x:c r="A435" s="27" t="d">
        <x:v>2026-09-03T00:00:00.000Z</x:v>
      </x:c>
      <x:c r="B435" s="22" t="n">
        <x:f>SUMIFS('Cash'!$C$5:$C$97,'Cash'!$A$5:$A$97,"&lt;="&amp;A435)</x:f>
        <x:v>42807</x:v>
      </x:c>
      <x:c r="C435" s="22" t="n">
        <x:f>SUMIFS('Cash'!$C$5:$C$97,'Cash'!$A$5:$A$97,A435)</x:f>
        <x:v>0</x:v>
      </x:c>
      <x:c r="D435" s="22" t="n">
        <x:f>SUMIFS('Cash'!$C$5:$C$97,'Cash'!$A$5:$A$97,"&lt;="&amp;A435,'Cash'!$B$5:$B$97,"EXTERNAL_FUNDING")</x:f>
        <x:v>82848881</x:v>
      </x:c>
      <x:c r="E435" s="22" t="n">
        <x:f>SUMIFS('Cash'!$C$5:$C$97,'Cash'!$A$5:$A$97,"&lt;="&amp;A435,'Cash'!$B$5:$B$97,"DIVIDEND_NET")</x:f>
        <x:v>1149500</x:v>
      </x:c>
      <x:c r="F435" s="30" t="str">
        <x:v>n.a.</x:v>
      </x:c>
      <x:c r="G435" s="30" t="str">
        <x:v>n.a.</x:v>
      </x:c>
      <x:c r="H435" s="30" t="str">
        <x:v>n.a.</x:v>
      </x:c>
      <x:c r="I435" s="30" t="str">
        <x:f>IF(COUNT(B435,F435:H435)=4,B435+F435+G435-H435,"n.a.")</x:f>
        <x:v>n.a.</x:v>
      </x:c>
      <x:c r="J435" s="30" t="str">
        <x:v>n.a.</x:v>
      </x:c>
      <x:c r="K435" s="17"/>
      <x:c r="L435" s="17"/>
      <x:c r="M435" s="17"/>
      <x:c r="N435" s="17"/>
    </x:row>
    <x:row r="436" ht="21" customHeight="1">
      <x:c r="A436" s="27" t="d">
        <x:v>2026-09-04T00:00:00.000Z</x:v>
      </x:c>
      <x:c r="B436" s="22" t="n">
        <x:f>SUMIFS('Cash'!$C$5:$C$97,'Cash'!$A$5:$A$97,"&lt;="&amp;A436)</x:f>
        <x:v>42807</x:v>
      </x:c>
      <x:c r="C436" s="22" t="n">
        <x:f>SUMIFS('Cash'!$C$5:$C$97,'Cash'!$A$5:$A$97,A436)</x:f>
        <x:v>0</x:v>
      </x:c>
      <x:c r="D436" s="22" t="n">
        <x:f>SUMIFS('Cash'!$C$5:$C$97,'Cash'!$A$5:$A$97,"&lt;="&amp;A436,'Cash'!$B$5:$B$97,"EXTERNAL_FUNDING")</x:f>
        <x:v>82848881</x:v>
      </x:c>
      <x:c r="E436" s="22" t="n">
        <x:f>SUMIFS('Cash'!$C$5:$C$97,'Cash'!$A$5:$A$97,"&lt;="&amp;A436,'Cash'!$B$5:$B$97,"DIVIDEND_NET")</x:f>
        <x:v>1149500</x:v>
      </x:c>
      <x:c r="F436" s="30" t="str">
        <x:v>n.a.</x:v>
      </x:c>
      <x:c r="G436" s="30" t="str">
        <x:v>n.a.</x:v>
      </x:c>
      <x:c r="H436" s="30" t="str">
        <x:v>n.a.</x:v>
      </x:c>
      <x:c r="I436" s="30" t="str">
        <x:f>IF(COUNT(B436,F436:H436)=4,B436+F436+G436-H436,"n.a.")</x:f>
        <x:v>n.a.</x:v>
      </x:c>
      <x:c r="J436" s="30" t="str">
        <x:v>n.a.</x:v>
      </x:c>
      <x:c r="K436" s="17"/>
      <x:c r="L436" s="17"/>
      <x:c r="M436" s="17"/>
      <x:c r="N436" s="17"/>
    </x:row>
    <x:row r="437" ht="21" customHeight="1">
      <x:c r="A437" s="27" t="d">
        <x:v>2026-09-05T00:00:00.000Z</x:v>
      </x:c>
      <x:c r="B437" s="22" t="n">
        <x:f>SUMIFS('Cash'!$C$5:$C$97,'Cash'!$A$5:$A$97,"&lt;="&amp;A437)</x:f>
        <x:v>42807</x:v>
      </x:c>
      <x:c r="C437" s="22" t="n">
        <x:f>SUMIFS('Cash'!$C$5:$C$97,'Cash'!$A$5:$A$97,A437)</x:f>
        <x:v>0</x:v>
      </x:c>
      <x:c r="D437" s="22" t="n">
        <x:f>SUMIFS('Cash'!$C$5:$C$97,'Cash'!$A$5:$A$97,"&lt;="&amp;A437,'Cash'!$B$5:$B$97,"EXTERNAL_FUNDING")</x:f>
        <x:v>82848881</x:v>
      </x:c>
      <x:c r="E437" s="22" t="n">
        <x:f>SUMIFS('Cash'!$C$5:$C$97,'Cash'!$A$5:$A$97,"&lt;="&amp;A437,'Cash'!$B$5:$B$97,"DIVIDEND_NET")</x:f>
        <x:v>1149500</x:v>
      </x:c>
      <x:c r="F437" s="30" t="str">
        <x:v>n.a.</x:v>
      </x:c>
      <x:c r="G437" s="30" t="str">
        <x:v>n.a.</x:v>
      </x:c>
      <x:c r="H437" s="30" t="str">
        <x:v>n.a.</x:v>
      </x:c>
      <x:c r="I437" s="30" t="str">
        <x:f>IF(COUNT(B437,F437:H437)=4,B437+F437+G437-H437,"n.a.")</x:f>
        <x:v>n.a.</x:v>
      </x:c>
      <x:c r="J437" s="30" t="str">
        <x:v>n.a.</x:v>
      </x:c>
      <x:c r="K437" s="17"/>
      <x:c r="L437" s="17"/>
      <x:c r="M437" s="17"/>
      <x:c r="N437" s="17"/>
    </x:row>
    <x:row r="438" ht="21" customHeight="1">
      <x:c r="A438" s="27" t="d">
        <x:v>2026-09-06T00:00:00.000Z</x:v>
      </x:c>
      <x:c r="B438" s="22" t="n">
        <x:f>SUMIFS('Cash'!$C$5:$C$97,'Cash'!$A$5:$A$97,"&lt;="&amp;A438)</x:f>
        <x:v>42807</x:v>
      </x:c>
      <x:c r="C438" s="22" t="n">
        <x:f>SUMIFS('Cash'!$C$5:$C$97,'Cash'!$A$5:$A$97,A438)</x:f>
        <x:v>0</x:v>
      </x:c>
      <x:c r="D438" s="22" t="n">
        <x:f>SUMIFS('Cash'!$C$5:$C$97,'Cash'!$A$5:$A$97,"&lt;="&amp;A438,'Cash'!$B$5:$B$97,"EXTERNAL_FUNDING")</x:f>
        <x:v>82848881</x:v>
      </x:c>
      <x:c r="E438" s="22" t="n">
        <x:f>SUMIFS('Cash'!$C$5:$C$97,'Cash'!$A$5:$A$97,"&lt;="&amp;A438,'Cash'!$B$5:$B$97,"DIVIDEND_NET")</x:f>
        <x:v>1149500</x:v>
      </x:c>
      <x:c r="F438" s="30" t="str">
        <x:v>n.a.</x:v>
      </x:c>
      <x:c r="G438" s="30" t="str">
        <x:v>n.a.</x:v>
      </x:c>
      <x:c r="H438" s="30" t="str">
        <x:v>n.a.</x:v>
      </x:c>
      <x:c r="I438" s="30" t="str">
        <x:f>IF(COUNT(B438,F438:H438)=4,B438+F438+G438-H438,"n.a.")</x:f>
        <x:v>n.a.</x:v>
      </x:c>
      <x:c r="J438" s="30" t="str">
        <x:v>n.a.</x:v>
      </x:c>
      <x:c r="K438" s="17"/>
      <x:c r="L438" s="17"/>
      <x:c r="M438" s="17"/>
      <x:c r="N438" s="17"/>
    </x:row>
    <x:row r="439" ht="21" customHeight="1">
      <x:c r="A439" s="27" t="d">
        <x:v>2026-09-07T00:00:00.000Z</x:v>
      </x:c>
      <x:c r="B439" s="22" t="n">
        <x:f>SUMIFS('Cash'!$C$5:$C$97,'Cash'!$A$5:$A$97,"&lt;="&amp;A439)</x:f>
        <x:v>42807</x:v>
      </x:c>
      <x:c r="C439" s="22" t="n">
        <x:f>SUMIFS('Cash'!$C$5:$C$97,'Cash'!$A$5:$A$97,A439)</x:f>
        <x:v>0</x:v>
      </x:c>
      <x:c r="D439" s="22" t="n">
        <x:f>SUMIFS('Cash'!$C$5:$C$97,'Cash'!$A$5:$A$97,"&lt;="&amp;A439,'Cash'!$B$5:$B$97,"EXTERNAL_FUNDING")</x:f>
        <x:v>82848881</x:v>
      </x:c>
      <x:c r="E439" s="22" t="n">
        <x:f>SUMIFS('Cash'!$C$5:$C$97,'Cash'!$A$5:$A$97,"&lt;="&amp;A439,'Cash'!$B$5:$B$97,"DIVIDEND_NET")</x:f>
        <x:v>1149500</x:v>
      </x:c>
      <x:c r="F439" s="30" t="str">
        <x:v>n.a.</x:v>
      </x:c>
      <x:c r="G439" s="30" t="str">
        <x:v>n.a.</x:v>
      </x:c>
      <x:c r="H439" s="30" t="str">
        <x:v>n.a.</x:v>
      </x:c>
      <x:c r="I439" s="30" t="str">
        <x:f>IF(COUNT(B439,F439:H439)=4,B439+F439+G439-H439,"n.a.")</x:f>
        <x:v>n.a.</x:v>
      </x:c>
      <x:c r="J439" s="30" t="str">
        <x:v>n.a.</x:v>
      </x:c>
      <x:c r="K439" s="17"/>
      <x:c r="L439" s="17"/>
      <x:c r="M439" s="17"/>
      <x:c r="N439" s="17"/>
    </x:row>
    <x:row r="440" ht="21" customHeight="1">
      <x:c r="A440" s="27" t="d">
        <x:v>2026-09-08T00:00:00.000Z</x:v>
      </x:c>
      <x:c r="B440" s="22" t="n">
        <x:f>SUMIFS('Cash'!$C$5:$C$97,'Cash'!$A$5:$A$97,"&lt;="&amp;A440)</x:f>
        <x:v>42807</x:v>
      </x:c>
      <x:c r="C440" s="22" t="n">
        <x:f>SUMIFS('Cash'!$C$5:$C$97,'Cash'!$A$5:$A$97,A440)</x:f>
        <x:v>0</x:v>
      </x:c>
      <x:c r="D440" s="22" t="n">
        <x:f>SUMIFS('Cash'!$C$5:$C$97,'Cash'!$A$5:$A$97,"&lt;="&amp;A440,'Cash'!$B$5:$B$97,"EXTERNAL_FUNDING")</x:f>
        <x:v>82848881</x:v>
      </x:c>
      <x:c r="E440" s="22" t="n">
        <x:f>SUMIFS('Cash'!$C$5:$C$97,'Cash'!$A$5:$A$97,"&lt;="&amp;A440,'Cash'!$B$5:$B$97,"DIVIDEND_NET")</x:f>
        <x:v>1149500</x:v>
      </x:c>
      <x:c r="F440" s="30" t="str">
        <x:v>n.a.</x:v>
      </x:c>
      <x:c r="G440" s="30" t="str">
        <x:v>n.a.</x:v>
      </x:c>
      <x:c r="H440" s="30" t="str">
        <x:v>n.a.</x:v>
      </x:c>
      <x:c r="I440" s="30" t="str">
        <x:f>IF(COUNT(B440,F440:H440)=4,B440+F440+G440-H440,"n.a.")</x:f>
        <x:v>n.a.</x:v>
      </x:c>
      <x:c r="J440" s="30" t="str">
        <x:v>n.a.</x:v>
      </x:c>
      <x:c r="K440" s="17"/>
      <x:c r="L440" s="17"/>
      <x:c r="M440" s="17"/>
      <x:c r="N440" s="17"/>
    </x:row>
    <x:row r="441" ht="21" customHeight="1">
      <x:c r="A441" s="27" t="d">
        <x:v>2026-09-09T00:00:00.000Z</x:v>
      </x:c>
      <x:c r="B441" s="22" t="n">
        <x:f>SUMIFS('Cash'!$C$5:$C$97,'Cash'!$A$5:$A$97,"&lt;="&amp;A441)</x:f>
        <x:v>42807</x:v>
      </x:c>
      <x:c r="C441" s="22" t="n">
        <x:f>SUMIFS('Cash'!$C$5:$C$97,'Cash'!$A$5:$A$97,A441)</x:f>
        <x:v>0</x:v>
      </x:c>
      <x:c r="D441" s="22" t="n">
        <x:f>SUMIFS('Cash'!$C$5:$C$97,'Cash'!$A$5:$A$97,"&lt;="&amp;A441,'Cash'!$B$5:$B$97,"EXTERNAL_FUNDING")</x:f>
        <x:v>82848881</x:v>
      </x:c>
      <x:c r="E441" s="22" t="n">
        <x:f>SUMIFS('Cash'!$C$5:$C$97,'Cash'!$A$5:$A$97,"&lt;="&amp;A441,'Cash'!$B$5:$B$97,"DIVIDEND_NET")</x:f>
        <x:v>1149500</x:v>
      </x:c>
      <x:c r="F441" s="30" t="str">
        <x:v>n.a.</x:v>
      </x:c>
      <x:c r="G441" s="30" t="str">
        <x:v>n.a.</x:v>
      </x:c>
      <x:c r="H441" s="30" t="str">
        <x:v>n.a.</x:v>
      </x:c>
      <x:c r="I441" s="30" t="str">
        <x:f>IF(COUNT(B441,F441:H441)=4,B441+F441+G441-H441,"n.a.")</x:f>
        <x:v>n.a.</x:v>
      </x:c>
      <x:c r="J441" s="30" t="str">
        <x:v>n.a.</x:v>
      </x:c>
      <x:c r="K441" s="17"/>
      <x:c r="L441" s="17"/>
      <x:c r="M441" s="17"/>
      <x:c r="N441" s="17"/>
    </x:row>
    <x:row r="442" ht="21" customHeight="1">
      <x:c r="A442" s="27" t="d">
        <x:v>2026-09-10T00:00:00.000Z</x:v>
      </x:c>
      <x:c r="B442" s="22" t="n">
        <x:f>SUMIFS('Cash'!$C$5:$C$97,'Cash'!$A$5:$A$97,"&lt;="&amp;A442)</x:f>
        <x:v>42807</x:v>
      </x:c>
      <x:c r="C442" s="22" t="n">
        <x:f>SUMIFS('Cash'!$C$5:$C$97,'Cash'!$A$5:$A$97,A442)</x:f>
        <x:v>0</x:v>
      </x:c>
      <x:c r="D442" s="22" t="n">
        <x:f>SUMIFS('Cash'!$C$5:$C$97,'Cash'!$A$5:$A$97,"&lt;="&amp;A442,'Cash'!$B$5:$B$97,"EXTERNAL_FUNDING")</x:f>
        <x:v>82848881</x:v>
      </x:c>
      <x:c r="E442" s="22" t="n">
        <x:f>SUMIFS('Cash'!$C$5:$C$97,'Cash'!$A$5:$A$97,"&lt;="&amp;A442,'Cash'!$B$5:$B$97,"DIVIDEND_NET")</x:f>
        <x:v>1149500</x:v>
      </x:c>
      <x:c r="F442" s="30" t="str">
        <x:v>n.a.</x:v>
      </x:c>
      <x:c r="G442" s="30" t="str">
        <x:v>n.a.</x:v>
      </x:c>
      <x:c r="H442" s="30" t="str">
        <x:v>n.a.</x:v>
      </x:c>
      <x:c r="I442" s="30" t="str">
        <x:f>IF(COUNT(B442,F442:H442)=4,B442+F442+G442-H442,"n.a.")</x:f>
        <x:v>n.a.</x:v>
      </x:c>
      <x:c r="J442" s="30" t="str">
        <x:v>n.a.</x:v>
      </x:c>
      <x:c r="K442" s="17"/>
      <x:c r="L442" s="17"/>
      <x:c r="M442" s="17"/>
      <x:c r="N442" s="17"/>
    </x:row>
    <x:row r="443" ht="21" customHeight="1">
      <x:c r="A443" s="27" t="d">
        <x:v>2026-09-11T00:00:00.000Z</x:v>
      </x:c>
      <x:c r="B443" s="22" t="n">
        <x:f>SUMIFS('Cash'!$C$5:$C$97,'Cash'!$A$5:$A$97,"&lt;="&amp;A443)</x:f>
        <x:v>42807</x:v>
      </x:c>
      <x:c r="C443" s="22" t="n">
        <x:f>SUMIFS('Cash'!$C$5:$C$97,'Cash'!$A$5:$A$97,A443)</x:f>
        <x:v>0</x:v>
      </x:c>
      <x:c r="D443" s="22" t="n">
        <x:f>SUMIFS('Cash'!$C$5:$C$97,'Cash'!$A$5:$A$97,"&lt;="&amp;A443,'Cash'!$B$5:$B$97,"EXTERNAL_FUNDING")</x:f>
        <x:v>82848881</x:v>
      </x:c>
      <x:c r="E443" s="22" t="n">
        <x:f>SUMIFS('Cash'!$C$5:$C$97,'Cash'!$A$5:$A$97,"&lt;="&amp;A443,'Cash'!$B$5:$B$97,"DIVIDEND_NET")</x:f>
        <x:v>1149500</x:v>
      </x:c>
      <x:c r="F443" s="30" t="str">
        <x:v>n.a.</x:v>
      </x:c>
      <x:c r="G443" s="30" t="str">
        <x:v>n.a.</x:v>
      </x:c>
      <x:c r="H443" s="30" t="str">
        <x:v>n.a.</x:v>
      </x:c>
      <x:c r="I443" s="30" t="str">
        <x:f>IF(COUNT(B443,F443:H443)=4,B443+F443+G443-H443,"n.a.")</x:f>
        <x:v>n.a.</x:v>
      </x:c>
      <x:c r="J443" s="30" t="str">
        <x:v>n.a.</x:v>
      </x:c>
      <x:c r="K443" s="17"/>
      <x:c r="L443" s="17"/>
      <x:c r="M443" s="17"/>
      <x:c r="N443" s="17"/>
    </x:row>
    <x:row r="444" ht="21" customHeight="1">
      <x:c r="A444" s="27" t="d">
        <x:v>2026-09-12T00:00:00.000Z</x:v>
      </x:c>
      <x:c r="B444" s="22" t="n">
        <x:f>SUMIFS('Cash'!$C$5:$C$97,'Cash'!$A$5:$A$97,"&lt;="&amp;A444)</x:f>
        <x:v>42807</x:v>
      </x:c>
      <x:c r="C444" s="22" t="n">
        <x:f>SUMIFS('Cash'!$C$5:$C$97,'Cash'!$A$5:$A$97,A444)</x:f>
        <x:v>0</x:v>
      </x:c>
      <x:c r="D444" s="22" t="n">
        <x:f>SUMIFS('Cash'!$C$5:$C$97,'Cash'!$A$5:$A$97,"&lt;="&amp;A444,'Cash'!$B$5:$B$97,"EXTERNAL_FUNDING")</x:f>
        <x:v>82848881</x:v>
      </x:c>
      <x:c r="E444" s="22" t="n">
        <x:f>SUMIFS('Cash'!$C$5:$C$97,'Cash'!$A$5:$A$97,"&lt;="&amp;A444,'Cash'!$B$5:$B$97,"DIVIDEND_NET")</x:f>
        <x:v>1149500</x:v>
      </x:c>
      <x:c r="F444" s="30" t="str">
        <x:v>n.a.</x:v>
      </x:c>
      <x:c r="G444" s="30" t="str">
        <x:v>n.a.</x:v>
      </x:c>
      <x:c r="H444" s="30" t="str">
        <x:v>n.a.</x:v>
      </x:c>
      <x:c r="I444" s="30" t="str">
        <x:f>IF(COUNT(B444,F444:H444)=4,B444+F444+G444-H444,"n.a.")</x:f>
        <x:v>n.a.</x:v>
      </x:c>
      <x:c r="J444" s="30" t="str">
        <x:v>n.a.</x:v>
      </x:c>
      <x:c r="K444" s="17"/>
      <x:c r="L444" s="17"/>
      <x:c r="M444" s="17"/>
      <x:c r="N444" s="17"/>
    </x:row>
    <x:row r="445" ht="21" customHeight="1">
      <x:c r="A445" s="27" t="d">
        <x:v>2026-09-13T00:00:00.000Z</x:v>
      </x:c>
      <x:c r="B445" s="22" t="n">
        <x:f>SUMIFS('Cash'!$C$5:$C$97,'Cash'!$A$5:$A$97,"&lt;="&amp;A445)</x:f>
        <x:v>42807</x:v>
      </x:c>
      <x:c r="C445" s="22" t="n">
        <x:f>SUMIFS('Cash'!$C$5:$C$97,'Cash'!$A$5:$A$97,A445)</x:f>
        <x:v>0</x:v>
      </x:c>
      <x:c r="D445" s="22" t="n">
        <x:f>SUMIFS('Cash'!$C$5:$C$97,'Cash'!$A$5:$A$97,"&lt;="&amp;A445,'Cash'!$B$5:$B$97,"EXTERNAL_FUNDING")</x:f>
        <x:v>82848881</x:v>
      </x:c>
      <x:c r="E445" s="22" t="n">
        <x:f>SUMIFS('Cash'!$C$5:$C$97,'Cash'!$A$5:$A$97,"&lt;="&amp;A445,'Cash'!$B$5:$B$97,"DIVIDEND_NET")</x:f>
        <x:v>1149500</x:v>
      </x:c>
      <x:c r="F445" s="30" t="str">
        <x:v>n.a.</x:v>
      </x:c>
      <x:c r="G445" s="30" t="str">
        <x:v>n.a.</x:v>
      </x:c>
      <x:c r="H445" s="30" t="str">
        <x:v>n.a.</x:v>
      </x:c>
      <x:c r="I445" s="30" t="str">
        <x:f>IF(COUNT(B445,F445:H445)=4,B445+F445+G445-H445,"n.a.")</x:f>
        <x:v>n.a.</x:v>
      </x:c>
      <x:c r="J445" s="30" t="str">
        <x:v>n.a.</x:v>
      </x:c>
      <x:c r="K445" s="17"/>
      <x:c r="L445" s="17"/>
      <x:c r="M445" s="17"/>
      <x:c r="N445" s="17"/>
    </x:row>
    <x:row r="446" ht="21" customHeight="1">
      <x:c r="A446" s="27" t="d">
        <x:v>2026-09-14T00:00:00.000Z</x:v>
      </x:c>
      <x:c r="B446" s="22" t="n">
        <x:f>SUMIFS('Cash'!$C$5:$C$97,'Cash'!$A$5:$A$97,"&lt;="&amp;A446)</x:f>
        <x:v>232807</x:v>
      </x:c>
      <x:c r="C446" s="22" t="n">
        <x:f>SUMIFS('Cash'!$C$5:$C$97,'Cash'!$A$5:$A$97,A446)</x:f>
        <x:v>190000</x:v>
      </x:c>
      <x:c r="D446" s="22" t="n">
        <x:f>SUMIFS('Cash'!$C$5:$C$97,'Cash'!$A$5:$A$97,"&lt;="&amp;A446,'Cash'!$B$5:$B$97,"EXTERNAL_FUNDING")</x:f>
        <x:v>82848881</x:v>
      </x:c>
      <x:c r="E446" s="22" t="n">
        <x:f>SUMIFS('Cash'!$C$5:$C$97,'Cash'!$A$5:$A$97,"&lt;="&amp;A446,'Cash'!$B$5:$B$97,"DIVIDEND_NET")</x:f>
        <x:v>1339500</x:v>
      </x:c>
      <x:c r="F446" s="30" t="str">
        <x:v>n.a.</x:v>
      </x:c>
      <x:c r="G446" s="30" t="str">
        <x:v>n.a.</x:v>
      </x:c>
      <x:c r="H446" s="30" t="str">
        <x:v>n.a.</x:v>
      </x:c>
      <x:c r="I446" s="30" t="str">
        <x:f>IF(COUNT(B446,F446:H446)=4,B446+F446+G446-H446,"n.a.")</x:f>
        <x:v>n.a.</x:v>
      </x:c>
      <x:c r="J446" s="30" t="str">
        <x:v>n.a.</x:v>
      </x:c>
      <x:c r="K446" s="17"/>
      <x:c r="L446" s="17"/>
      <x:c r="M446" s="17"/>
      <x:c r="N446" s="17"/>
    </x:row>
    <x:row r="447" ht="21" customHeight="1">
      <x:c r="A447" s="27" t="d">
        <x:v>2026-09-15T00:00:00.000Z</x:v>
      </x:c>
      <x:c r="B447" s="22" t="n">
        <x:f>SUMIFS('Cash'!$C$5:$C$97,'Cash'!$A$5:$A$97,"&lt;="&amp;A447)</x:f>
        <x:v>232807</x:v>
      </x:c>
      <x:c r="C447" s="22" t="n">
        <x:f>SUMIFS('Cash'!$C$5:$C$97,'Cash'!$A$5:$A$97,A447)</x:f>
        <x:v>0</x:v>
      </x:c>
      <x:c r="D447" s="22" t="n">
        <x:f>SUMIFS('Cash'!$C$5:$C$97,'Cash'!$A$5:$A$97,"&lt;="&amp;A447,'Cash'!$B$5:$B$97,"EXTERNAL_FUNDING")</x:f>
        <x:v>82848881</x:v>
      </x:c>
      <x:c r="E447" s="22" t="n">
        <x:f>SUMIFS('Cash'!$C$5:$C$97,'Cash'!$A$5:$A$97,"&lt;="&amp;A447,'Cash'!$B$5:$B$97,"DIVIDEND_NET")</x:f>
        <x:v>1339500</x:v>
      </x:c>
      <x:c r="F447" s="30" t="str">
        <x:v>n.a.</x:v>
      </x:c>
      <x:c r="G447" s="30" t="str">
        <x:v>n.a.</x:v>
      </x:c>
      <x:c r="H447" s="30" t="str">
        <x:v>n.a.</x:v>
      </x:c>
      <x:c r="I447" s="30" t="str">
        <x:f>IF(COUNT(B447,F447:H447)=4,B447+F447+G447-H447,"n.a.")</x:f>
        <x:v>n.a.</x:v>
      </x:c>
      <x:c r="J447" s="30" t="str">
        <x:v>n.a.</x:v>
      </x:c>
      <x:c r="K447" s="17"/>
      <x:c r="L447" s="17"/>
      <x:c r="M447" s="17"/>
      <x:c r="N447" s="17"/>
    </x:row>
    <x:row r="448" ht="21" customHeight="1">
      <x:c r="A448" s="27" t="d">
        <x:v>2026-09-16T00:00:00.000Z</x:v>
      </x:c>
      <x:c r="B448" s="22" t="n">
        <x:f>SUMIFS('Cash'!$C$5:$C$97,'Cash'!$A$5:$A$97,"&lt;="&amp;A448)</x:f>
        <x:v>232807</x:v>
      </x:c>
      <x:c r="C448" s="22" t="n">
        <x:f>SUMIFS('Cash'!$C$5:$C$97,'Cash'!$A$5:$A$97,A448)</x:f>
        <x:v>0</x:v>
      </x:c>
      <x:c r="D448" s="22" t="n">
        <x:f>SUMIFS('Cash'!$C$5:$C$97,'Cash'!$A$5:$A$97,"&lt;="&amp;A448,'Cash'!$B$5:$B$97,"EXTERNAL_FUNDING")</x:f>
        <x:v>82848881</x:v>
      </x:c>
      <x:c r="E448" s="22" t="n">
        <x:f>SUMIFS('Cash'!$C$5:$C$97,'Cash'!$A$5:$A$97,"&lt;="&amp;A448,'Cash'!$B$5:$B$97,"DIVIDEND_NET")</x:f>
        <x:v>1339500</x:v>
      </x:c>
      <x:c r="F448" s="30" t="str">
        <x:v>n.a.</x:v>
      </x:c>
      <x:c r="G448" s="30" t="str">
        <x:v>n.a.</x:v>
      </x:c>
      <x:c r="H448" s="30" t="str">
        <x:v>n.a.</x:v>
      </x:c>
      <x:c r="I448" s="30" t="str">
        <x:f>IF(COUNT(B448,F448:H448)=4,B448+F448+G448-H448,"n.a.")</x:f>
        <x:v>n.a.</x:v>
      </x:c>
      <x:c r="J448" s="30" t="str">
        <x:v>n.a.</x:v>
      </x:c>
      <x:c r="K448" s="17"/>
      <x:c r="L448" s="17"/>
      <x:c r="M448" s="17"/>
      <x:c r="N448" s="17"/>
    </x:row>
    <x:row r="449" ht="21" customHeight="1">
      <x:c r="A449" s="27" t="d">
        <x:v>2026-09-17T00:00:00.000Z</x:v>
      </x:c>
      <x:c r="B449" s="22" t="n">
        <x:f>SUMIFS('Cash'!$C$5:$C$97,'Cash'!$A$5:$A$97,"&lt;="&amp;A449)</x:f>
        <x:v>232807</x:v>
      </x:c>
      <x:c r="C449" s="22" t="n">
        <x:f>SUMIFS('Cash'!$C$5:$C$97,'Cash'!$A$5:$A$97,A449)</x:f>
        <x:v>0</x:v>
      </x:c>
      <x:c r="D449" s="22" t="n">
        <x:f>SUMIFS('Cash'!$C$5:$C$97,'Cash'!$A$5:$A$97,"&lt;="&amp;A449,'Cash'!$B$5:$B$97,"EXTERNAL_FUNDING")</x:f>
        <x:v>82848881</x:v>
      </x:c>
      <x:c r="E449" s="22" t="n">
        <x:f>SUMIFS('Cash'!$C$5:$C$97,'Cash'!$A$5:$A$97,"&lt;="&amp;A449,'Cash'!$B$5:$B$97,"DIVIDEND_NET")</x:f>
        <x:v>1339500</x:v>
      </x:c>
      <x:c r="F449" s="30" t="str">
        <x:v>n.a.</x:v>
      </x:c>
      <x:c r="G449" s="30" t="str">
        <x:v>n.a.</x:v>
      </x:c>
      <x:c r="H449" s="30" t="str">
        <x:v>n.a.</x:v>
      </x:c>
      <x:c r="I449" s="30" t="str">
        <x:f>IF(COUNT(B449,F449:H449)=4,B449+F449+G449-H449,"n.a.")</x:f>
        <x:v>n.a.</x:v>
      </x:c>
      <x:c r="J449" s="30" t="str">
        <x:v>n.a.</x:v>
      </x:c>
      <x:c r="K449" s="17"/>
      <x:c r="L449" s="17"/>
      <x:c r="M449" s="17"/>
      <x:c r="N449" s="17"/>
    </x:row>
    <x:row r="450" ht="21" customHeight="1">
      <x:c r="A450" s="27" t="d">
        <x:v>2026-09-18T00:00:00.000Z</x:v>
      </x:c>
      <x:c r="B450" s="22" t="n">
        <x:f>SUMIFS('Cash'!$C$5:$C$97,'Cash'!$A$5:$A$97,"&lt;="&amp;A450)</x:f>
        <x:v>232807</x:v>
      </x:c>
      <x:c r="C450" s="22" t="n">
        <x:f>SUMIFS('Cash'!$C$5:$C$97,'Cash'!$A$5:$A$97,A450)</x:f>
        <x:v>0</x:v>
      </x:c>
      <x:c r="D450" s="22" t="n">
        <x:f>SUMIFS('Cash'!$C$5:$C$97,'Cash'!$A$5:$A$97,"&lt;="&amp;A450,'Cash'!$B$5:$B$97,"EXTERNAL_FUNDING")</x:f>
        <x:v>82848881</x:v>
      </x:c>
      <x:c r="E450" s="22" t="n">
        <x:f>SUMIFS('Cash'!$C$5:$C$97,'Cash'!$A$5:$A$97,"&lt;="&amp;A450,'Cash'!$B$5:$B$97,"DIVIDEND_NET")</x:f>
        <x:v>1339500</x:v>
      </x:c>
      <x:c r="F450" s="30" t="str">
        <x:v>n.a.</x:v>
      </x:c>
      <x:c r="G450" s="30" t="str">
        <x:v>n.a.</x:v>
      </x:c>
      <x:c r="H450" s="30" t="str">
        <x:v>n.a.</x:v>
      </x:c>
      <x:c r="I450" s="30" t="str">
        <x:f>IF(COUNT(B450,F450:H450)=4,B450+F450+G450-H450,"n.a.")</x:f>
        <x:v>n.a.</x:v>
      </x:c>
      <x:c r="J450" s="30" t="str">
        <x:v>n.a.</x:v>
      </x:c>
      <x:c r="K450" s="17"/>
      <x:c r="L450" s="17"/>
      <x:c r="M450" s="17"/>
      <x:c r="N450" s="17"/>
    </x:row>
    <x:row r="451" ht="21" customHeight="1">
      <x:c r="A451" s="27" t="d">
        <x:v>2026-09-19T00:00:00.000Z</x:v>
      </x:c>
      <x:c r="B451" s="22" t="n">
        <x:f>SUMIFS('Cash'!$C$5:$C$97,'Cash'!$A$5:$A$97,"&lt;="&amp;A451)</x:f>
        <x:v>232807</x:v>
      </x:c>
      <x:c r="C451" s="22" t="n">
        <x:f>SUMIFS('Cash'!$C$5:$C$97,'Cash'!$A$5:$A$97,A451)</x:f>
        <x:v>0</x:v>
      </x:c>
      <x:c r="D451" s="22" t="n">
        <x:f>SUMIFS('Cash'!$C$5:$C$97,'Cash'!$A$5:$A$97,"&lt;="&amp;A451,'Cash'!$B$5:$B$97,"EXTERNAL_FUNDING")</x:f>
        <x:v>82848881</x:v>
      </x:c>
      <x:c r="E451" s="22" t="n">
        <x:f>SUMIFS('Cash'!$C$5:$C$97,'Cash'!$A$5:$A$97,"&lt;="&amp;A451,'Cash'!$B$5:$B$97,"DIVIDEND_NET")</x:f>
        <x:v>1339500</x:v>
      </x:c>
      <x:c r="F451" s="30" t="str">
        <x:v>n.a.</x:v>
      </x:c>
      <x:c r="G451" s="30" t="str">
        <x:v>n.a.</x:v>
      </x:c>
      <x:c r="H451" s="30" t="str">
        <x:v>n.a.</x:v>
      </x:c>
      <x:c r="I451" s="30" t="str">
        <x:f>IF(COUNT(B451,F451:H451)=4,B451+F451+G451-H451,"n.a.")</x:f>
        <x:v>n.a.</x:v>
      </x:c>
      <x:c r="J451" s="30" t="str">
        <x:v>n.a.</x:v>
      </x:c>
      <x:c r="K451" s="17"/>
      <x:c r="L451" s="17"/>
      <x:c r="M451" s="17"/>
      <x:c r="N451" s="17"/>
    </x:row>
    <x:row r="452" ht="21" customHeight="1">
      <x:c r="A452" s="27" t="d">
        <x:v>2026-09-20T00:00:00.000Z</x:v>
      </x:c>
      <x:c r="B452" s="22" t="n">
        <x:f>SUMIFS('Cash'!$C$5:$C$97,'Cash'!$A$5:$A$97,"&lt;="&amp;A452)</x:f>
        <x:v>232807</x:v>
      </x:c>
      <x:c r="C452" s="22" t="n">
        <x:f>SUMIFS('Cash'!$C$5:$C$97,'Cash'!$A$5:$A$97,A452)</x:f>
        <x:v>0</x:v>
      </x:c>
      <x:c r="D452" s="22" t="n">
        <x:f>SUMIFS('Cash'!$C$5:$C$97,'Cash'!$A$5:$A$97,"&lt;="&amp;A452,'Cash'!$B$5:$B$97,"EXTERNAL_FUNDING")</x:f>
        <x:v>82848881</x:v>
      </x:c>
      <x:c r="E452" s="22" t="n">
        <x:f>SUMIFS('Cash'!$C$5:$C$97,'Cash'!$A$5:$A$97,"&lt;="&amp;A452,'Cash'!$B$5:$B$97,"DIVIDEND_NET")</x:f>
        <x:v>1339500</x:v>
      </x:c>
      <x:c r="F452" s="30" t="str">
        <x:v>n.a.</x:v>
      </x:c>
      <x:c r="G452" s="30" t="str">
        <x:v>n.a.</x:v>
      </x:c>
      <x:c r="H452" s="30" t="str">
        <x:v>n.a.</x:v>
      </x:c>
      <x:c r="I452" s="30" t="str">
        <x:f>IF(COUNT(B452,F452:H452)=4,B452+F452+G452-H452,"n.a.")</x:f>
        <x:v>n.a.</x:v>
      </x:c>
      <x:c r="J452" s="30" t="str">
        <x:v>n.a.</x:v>
      </x:c>
      <x:c r="K452" s="17"/>
      <x:c r="L452" s="17"/>
      <x:c r="M452" s="17"/>
      <x:c r="N452" s="17"/>
    </x:row>
    <x:row r="453" ht="21" customHeight="1">
      <x:c r="A453" s="27" t="d">
        <x:v>2026-09-21T00:00:00.000Z</x:v>
      </x:c>
      <x:c r="B453" s="22" t="n">
        <x:f>SUMIFS('Cash'!$C$5:$C$97,'Cash'!$A$5:$A$97,"&lt;="&amp;A453)</x:f>
        <x:v>232807</x:v>
      </x:c>
      <x:c r="C453" s="22" t="n">
        <x:f>SUMIFS('Cash'!$C$5:$C$97,'Cash'!$A$5:$A$97,A453)</x:f>
        <x:v>0</x:v>
      </x:c>
      <x:c r="D453" s="22" t="n">
        <x:f>SUMIFS('Cash'!$C$5:$C$97,'Cash'!$A$5:$A$97,"&lt;="&amp;A453,'Cash'!$B$5:$B$97,"EXTERNAL_FUNDING")</x:f>
        <x:v>82848881</x:v>
      </x:c>
      <x:c r="E453" s="22" t="n">
        <x:f>SUMIFS('Cash'!$C$5:$C$97,'Cash'!$A$5:$A$97,"&lt;="&amp;A453,'Cash'!$B$5:$B$97,"DIVIDEND_NET")</x:f>
        <x:v>1339500</x:v>
      </x:c>
      <x:c r="F453" s="30" t="str">
        <x:v>n.a.</x:v>
      </x:c>
      <x:c r="G453" s="30" t="str">
        <x:v>n.a.</x:v>
      </x:c>
      <x:c r="H453" s="30" t="str">
        <x:v>n.a.</x:v>
      </x:c>
      <x:c r="I453" s="30" t="str">
        <x:f>IF(COUNT(B453,F453:H453)=4,B453+F453+G453-H453,"n.a.")</x:f>
        <x:v>n.a.</x:v>
      </x:c>
      <x:c r="J453" s="30" t="str">
        <x:v>n.a.</x:v>
      </x:c>
      <x:c r="K453" s="17"/>
      <x:c r="L453" s="17"/>
      <x:c r="M453" s="17"/>
      <x:c r="N453" s="17"/>
    </x:row>
    <x:row r="454" ht="21" customHeight="1">
      <x:c r="A454" s="27" t="d">
        <x:v>2026-09-22T00:00:00.000Z</x:v>
      </x:c>
      <x:c r="B454" s="22" t="n">
        <x:f>SUMIFS('Cash'!$C$5:$C$97,'Cash'!$A$5:$A$97,"&lt;="&amp;A454)</x:f>
        <x:v>232807</x:v>
      </x:c>
      <x:c r="C454" s="22" t="n">
        <x:f>SUMIFS('Cash'!$C$5:$C$97,'Cash'!$A$5:$A$97,A454)</x:f>
        <x:v>0</x:v>
      </x:c>
      <x:c r="D454" s="22" t="n">
        <x:f>SUMIFS('Cash'!$C$5:$C$97,'Cash'!$A$5:$A$97,"&lt;="&amp;A454,'Cash'!$B$5:$B$97,"EXTERNAL_FUNDING")</x:f>
        <x:v>82848881</x:v>
      </x:c>
      <x:c r="E454" s="22" t="n">
        <x:f>SUMIFS('Cash'!$C$5:$C$97,'Cash'!$A$5:$A$97,"&lt;="&amp;A454,'Cash'!$B$5:$B$97,"DIVIDEND_NET")</x:f>
        <x:v>1339500</x:v>
      </x:c>
      <x:c r="F454" s="30" t="str">
        <x:v>n.a.</x:v>
      </x:c>
      <x:c r="G454" s="30" t="str">
        <x:v>n.a.</x:v>
      </x:c>
      <x:c r="H454" s="30" t="str">
        <x:v>n.a.</x:v>
      </x:c>
      <x:c r="I454" s="30" t="str">
        <x:f>IF(COUNT(B454,F454:H454)=4,B454+F454+G454-H454,"n.a.")</x:f>
        <x:v>n.a.</x:v>
      </x:c>
      <x:c r="J454" s="30" t="str">
        <x:v>n.a.</x:v>
      </x:c>
      <x:c r="K454" s="17"/>
      <x:c r="L454" s="17"/>
      <x:c r="M454" s="17"/>
      <x:c r="N454" s="17"/>
    </x:row>
    <x:row r="455" ht="21" customHeight="1">
      <x:c r="A455" s="27" t="d">
        <x:v>2026-09-23T00:00:00.000Z</x:v>
      </x:c>
      <x:c r="B455" s="22" t="n">
        <x:f>SUMIFS('Cash'!$C$5:$C$97,'Cash'!$A$5:$A$97,"&lt;="&amp;A455)</x:f>
        <x:v>232807</x:v>
      </x:c>
      <x:c r="C455" s="22" t="n">
        <x:f>SUMIFS('Cash'!$C$5:$C$97,'Cash'!$A$5:$A$97,A455)</x:f>
        <x:v>0</x:v>
      </x:c>
      <x:c r="D455" s="22" t="n">
        <x:f>SUMIFS('Cash'!$C$5:$C$97,'Cash'!$A$5:$A$97,"&lt;="&amp;A455,'Cash'!$B$5:$B$97,"EXTERNAL_FUNDING")</x:f>
        <x:v>82848881</x:v>
      </x:c>
      <x:c r="E455" s="22" t="n">
        <x:f>SUMIFS('Cash'!$C$5:$C$97,'Cash'!$A$5:$A$97,"&lt;="&amp;A455,'Cash'!$B$5:$B$97,"DIVIDEND_NET")</x:f>
        <x:v>1339500</x:v>
      </x:c>
      <x:c r="F455" s="30" t="str">
        <x:v>n.a.</x:v>
      </x:c>
      <x:c r="G455" s="30" t="str">
        <x:v>n.a.</x:v>
      </x:c>
      <x:c r="H455" s="30" t="str">
        <x:v>n.a.</x:v>
      </x:c>
      <x:c r="I455" s="30" t="str">
        <x:f>IF(COUNT(B455,F455:H455)=4,B455+F455+G455-H455,"n.a.")</x:f>
        <x:v>n.a.</x:v>
      </x:c>
      <x:c r="J455" s="30" t="str">
        <x:v>n.a.</x:v>
      </x:c>
      <x:c r="K455" s="17"/>
      <x:c r="L455" s="17"/>
      <x:c r="M455" s="17"/>
      <x:c r="N455" s="17"/>
    </x:row>
    <x:row r="456" ht="21" customHeight="1">
      <x:c r="A456" s="27" t="d">
        <x:v>2026-09-24T00:00:00.000Z</x:v>
      </x:c>
      <x:c r="B456" s="22" t="n">
        <x:f>SUMIFS('Cash'!$C$5:$C$97,'Cash'!$A$5:$A$97,"&lt;="&amp;A456)</x:f>
        <x:v>232807</x:v>
      </x:c>
      <x:c r="C456" s="22" t="n">
        <x:f>SUMIFS('Cash'!$C$5:$C$97,'Cash'!$A$5:$A$97,A456)</x:f>
        <x:v>0</x:v>
      </x:c>
      <x:c r="D456" s="22" t="n">
        <x:f>SUMIFS('Cash'!$C$5:$C$97,'Cash'!$A$5:$A$97,"&lt;="&amp;A456,'Cash'!$B$5:$B$97,"EXTERNAL_FUNDING")</x:f>
        <x:v>82848881</x:v>
      </x:c>
      <x:c r="E456" s="22" t="n">
        <x:f>SUMIFS('Cash'!$C$5:$C$97,'Cash'!$A$5:$A$97,"&lt;="&amp;A456,'Cash'!$B$5:$B$97,"DIVIDEND_NET")</x:f>
        <x:v>1339500</x:v>
      </x:c>
      <x:c r="F456" s="30" t="str">
        <x:v>n.a.</x:v>
      </x:c>
      <x:c r="G456" s="30" t="str">
        <x:v>n.a.</x:v>
      </x:c>
      <x:c r="H456" s="30" t="str">
        <x:v>n.a.</x:v>
      </x:c>
      <x:c r="I456" s="30" t="str">
        <x:f>IF(COUNT(B456,F456:H456)=4,B456+F456+G456-H456,"n.a.")</x:f>
        <x:v>n.a.</x:v>
      </x:c>
      <x:c r="J456" s="30" t="str">
        <x:v>n.a.</x:v>
      </x:c>
      <x:c r="K456" s="17"/>
      <x:c r="L456" s="17"/>
      <x:c r="M456" s="17"/>
      <x:c r="N456" s="17"/>
    </x:row>
    <x:row r="457" ht="21" customHeight="1">
      <x:c r="A457" s="27" t="d">
        <x:v>2026-09-25T00:00:00.000Z</x:v>
      </x:c>
      <x:c r="B457" s="22" t="n">
        <x:f>SUMIFS('Cash'!$C$5:$C$97,'Cash'!$A$5:$A$97,"&lt;="&amp;A457)</x:f>
        <x:v>232807</x:v>
      </x:c>
      <x:c r="C457" s="22" t="n">
        <x:f>SUMIFS('Cash'!$C$5:$C$97,'Cash'!$A$5:$A$97,A457)</x:f>
        <x:v>0</x:v>
      </x:c>
      <x:c r="D457" s="22" t="n">
        <x:f>SUMIFS('Cash'!$C$5:$C$97,'Cash'!$A$5:$A$97,"&lt;="&amp;A457,'Cash'!$B$5:$B$97,"EXTERNAL_FUNDING")</x:f>
        <x:v>82848881</x:v>
      </x:c>
      <x:c r="E457" s="22" t="n">
        <x:f>SUMIFS('Cash'!$C$5:$C$97,'Cash'!$A$5:$A$97,"&lt;="&amp;A457,'Cash'!$B$5:$B$97,"DIVIDEND_NET")</x:f>
        <x:v>1339500</x:v>
      </x:c>
      <x:c r="F457" s="30" t="str">
        <x:v>n.a.</x:v>
      </x:c>
      <x:c r="G457" s="30" t="str">
        <x:v>n.a.</x:v>
      </x:c>
      <x:c r="H457" s="30" t="str">
        <x:v>n.a.</x:v>
      </x:c>
      <x:c r="I457" s="30" t="str">
        <x:f>IF(COUNT(B457,F457:H457)=4,B457+F457+G457-H457,"n.a.")</x:f>
        <x:v>n.a.</x:v>
      </x:c>
      <x:c r="J457" s="30" t="str">
        <x:v>n.a.</x:v>
      </x:c>
      <x:c r="K457" s="17"/>
      <x:c r="L457" s="17"/>
      <x:c r="M457" s="17"/>
      <x:c r="N457" s="17"/>
    </x:row>
    <x:row r="458" ht="21" customHeight="1">
      <x:c r="A458" s="27" t="d">
        <x:v>2026-09-26T00:00:00.000Z</x:v>
      </x:c>
      <x:c r="B458" s="22" t="n">
        <x:f>SUMIFS('Cash'!$C$5:$C$97,'Cash'!$A$5:$A$97,"&lt;="&amp;A458)</x:f>
        <x:v>232807</x:v>
      </x:c>
      <x:c r="C458" s="22" t="n">
        <x:f>SUMIFS('Cash'!$C$5:$C$97,'Cash'!$A$5:$A$97,A458)</x:f>
        <x:v>0</x:v>
      </x:c>
      <x:c r="D458" s="22" t="n">
        <x:f>SUMIFS('Cash'!$C$5:$C$97,'Cash'!$A$5:$A$97,"&lt;="&amp;A458,'Cash'!$B$5:$B$97,"EXTERNAL_FUNDING")</x:f>
        <x:v>82848881</x:v>
      </x:c>
      <x:c r="E458" s="22" t="n">
        <x:f>SUMIFS('Cash'!$C$5:$C$97,'Cash'!$A$5:$A$97,"&lt;="&amp;A458,'Cash'!$B$5:$B$97,"DIVIDEND_NET")</x:f>
        <x:v>1339500</x:v>
      </x:c>
      <x:c r="F458" s="30" t="str">
        <x:v>n.a.</x:v>
      </x:c>
      <x:c r="G458" s="30" t="str">
        <x:v>n.a.</x:v>
      </x:c>
      <x:c r="H458" s="30" t="str">
        <x:v>n.a.</x:v>
      </x:c>
      <x:c r="I458" s="30" t="str">
        <x:f>IF(COUNT(B458,F458:H458)=4,B458+F458+G458-H458,"n.a.")</x:f>
        <x:v>n.a.</x:v>
      </x:c>
      <x:c r="J458" s="30" t="str">
        <x:v>n.a.</x:v>
      </x:c>
      <x:c r="K458" s="17"/>
      <x:c r="L458" s="17"/>
      <x:c r="M458" s="17"/>
      <x:c r="N458" s="17"/>
    </x:row>
    <x:row r="459" ht="21" customHeight="1">
      <x:c r="A459" s="27" t="d">
        <x:v>2026-09-27T00:00:00.000Z</x:v>
      </x:c>
      <x:c r="B459" s="22" t="n">
        <x:f>SUMIFS('Cash'!$C$5:$C$97,'Cash'!$A$5:$A$97,"&lt;="&amp;A459)</x:f>
        <x:v>232807</x:v>
      </x:c>
      <x:c r="C459" s="22" t="n">
        <x:f>SUMIFS('Cash'!$C$5:$C$97,'Cash'!$A$5:$A$97,A459)</x:f>
        <x:v>0</x:v>
      </x:c>
      <x:c r="D459" s="22" t="n">
        <x:f>SUMIFS('Cash'!$C$5:$C$97,'Cash'!$A$5:$A$97,"&lt;="&amp;A459,'Cash'!$B$5:$B$97,"EXTERNAL_FUNDING")</x:f>
        <x:v>82848881</x:v>
      </x:c>
      <x:c r="E459" s="22" t="n">
        <x:f>SUMIFS('Cash'!$C$5:$C$97,'Cash'!$A$5:$A$97,"&lt;="&amp;A459,'Cash'!$B$5:$B$97,"DIVIDEND_NET")</x:f>
        <x:v>1339500</x:v>
      </x:c>
      <x:c r="F459" s="30" t="str">
        <x:v>n.a.</x:v>
      </x:c>
      <x:c r="G459" s="30" t="str">
        <x:v>n.a.</x:v>
      </x:c>
      <x:c r="H459" s="30" t="str">
        <x:v>n.a.</x:v>
      </x:c>
      <x:c r="I459" s="30" t="str">
        <x:f>IF(COUNT(B459,F459:H459)=4,B459+F459+G459-H459,"n.a.")</x:f>
        <x:v>n.a.</x:v>
      </x:c>
      <x:c r="J459" s="30" t="str">
        <x:v>n.a.</x:v>
      </x:c>
      <x:c r="K459" s="17"/>
      <x:c r="L459" s="17"/>
      <x:c r="M459" s="17"/>
      <x:c r="N459" s="17"/>
    </x:row>
    <x:row r="460" ht="21" customHeight="1">
      <x:c r="A460" s="27" t="d">
        <x:v>2026-09-28T00:00:00.000Z</x:v>
      </x:c>
      <x:c r="B460" s="22" t="n">
        <x:f>SUMIFS('Cash'!$C$5:$C$97,'Cash'!$A$5:$A$97,"&lt;="&amp;A460)</x:f>
        <x:v>232807</x:v>
      </x:c>
      <x:c r="C460" s="22" t="n">
        <x:f>SUMIFS('Cash'!$C$5:$C$97,'Cash'!$A$5:$A$97,A460)</x:f>
        <x:v>0</x:v>
      </x:c>
      <x:c r="D460" s="22" t="n">
        <x:f>SUMIFS('Cash'!$C$5:$C$97,'Cash'!$A$5:$A$97,"&lt;="&amp;A460,'Cash'!$B$5:$B$97,"EXTERNAL_FUNDING")</x:f>
        <x:v>82848881</x:v>
      </x:c>
      <x:c r="E460" s="22" t="n">
        <x:f>SUMIFS('Cash'!$C$5:$C$97,'Cash'!$A$5:$A$97,"&lt;="&amp;A460,'Cash'!$B$5:$B$97,"DIVIDEND_NET")</x:f>
        <x:v>1339500</x:v>
      </x:c>
      <x:c r="F460" s="30" t="str">
        <x:v>n.a.</x:v>
      </x:c>
      <x:c r="G460" s="30" t="str">
        <x:v>n.a.</x:v>
      </x:c>
      <x:c r="H460" s="30" t="str">
        <x:v>n.a.</x:v>
      </x:c>
      <x:c r="I460" s="30" t="str">
        <x:f>IF(COUNT(B460,F460:H460)=4,B460+F460+G460-H460,"n.a.")</x:f>
        <x:v>n.a.</x:v>
      </x:c>
      <x:c r="J460" s="30" t="str">
        <x:v>n.a.</x:v>
      </x:c>
      <x:c r="K460" s="17"/>
      <x:c r="L460" s="17"/>
      <x:c r="M460" s="17"/>
      <x:c r="N460" s="17"/>
    </x:row>
    <x:row r="461" ht="21" customHeight="1">
      <x:c r="A461" s="27" t="d">
        <x:v>2026-09-29T00:00:00.000Z</x:v>
      </x:c>
      <x:c r="B461" s="22" t="n">
        <x:f>SUMIFS('Cash'!$C$5:$C$97,'Cash'!$A$5:$A$97,"&lt;="&amp;A461)</x:f>
        <x:v>232807</x:v>
      </x:c>
      <x:c r="C461" s="22" t="n">
        <x:f>SUMIFS('Cash'!$C$5:$C$97,'Cash'!$A$5:$A$97,A461)</x:f>
        <x:v>0</x:v>
      </x:c>
      <x:c r="D461" s="22" t="n">
        <x:f>SUMIFS('Cash'!$C$5:$C$97,'Cash'!$A$5:$A$97,"&lt;="&amp;A461,'Cash'!$B$5:$B$97,"EXTERNAL_FUNDING")</x:f>
        <x:v>82848881</x:v>
      </x:c>
      <x:c r="E461" s="22" t="n">
        <x:f>SUMIFS('Cash'!$C$5:$C$97,'Cash'!$A$5:$A$97,"&lt;="&amp;A461,'Cash'!$B$5:$B$97,"DIVIDEND_NET")</x:f>
        <x:v>1339500</x:v>
      </x:c>
      <x:c r="F461" s="30" t="str">
        <x:v>n.a.</x:v>
      </x:c>
      <x:c r="G461" s="30" t="str">
        <x:v>n.a.</x:v>
      </x:c>
      <x:c r="H461" s="30" t="str">
        <x:v>n.a.</x:v>
      </x:c>
      <x:c r="I461" s="30" t="str">
        <x:f>IF(COUNT(B461,F461:H461)=4,B461+F461+G461-H461,"n.a.")</x:f>
        <x:v>n.a.</x:v>
      </x:c>
      <x:c r="J461" s="30" t="str">
        <x:v>n.a.</x:v>
      </x:c>
      <x:c r="K461" s="17"/>
      <x:c r="L461" s="17"/>
      <x:c r="M461" s="17"/>
      <x:c r="N461" s="17"/>
    </x:row>
    <x:row r="462" ht="21" customHeight="1">
      <x:c r="A462" s="27" t="d">
        <x:v>2026-09-30T00:00:00.000Z</x:v>
      </x:c>
      <x:c r="B462" s="22" t="n">
        <x:f>SUMIFS('Cash'!$C$5:$C$97,'Cash'!$A$5:$A$97,"&lt;="&amp;A462)</x:f>
        <x:v>232420</x:v>
      </x:c>
      <x:c r="C462" s="22" t="n">
        <x:f>SUMIFS('Cash'!$C$5:$C$97,'Cash'!$A$5:$A$97,A462)</x:f>
        <x:v>-387</x:v>
      </x:c>
      <x:c r="D462" s="22" t="n">
        <x:f>SUMIFS('Cash'!$C$5:$C$97,'Cash'!$A$5:$A$97,"&lt;="&amp;A462,'Cash'!$B$5:$B$97,"EXTERNAL_FUNDING")</x:f>
        <x:v>82848881</x:v>
      </x:c>
      <x:c r="E462" s="22" t="n">
        <x:f>SUMIFS('Cash'!$C$5:$C$97,'Cash'!$A$5:$A$97,"&lt;="&amp;A462,'Cash'!$B$5:$B$97,"DIVIDEND_NET")</x:f>
        <x:v>1339500</x:v>
      </x:c>
      <x:c r="F462" s="30" t="str">
        <x:v>n.a.</x:v>
      </x:c>
      <x:c r="G462" s="30" t="str">
        <x:v>n.a.</x:v>
      </x:c>
      <x:c r="H462" s="30" t="str">
        <x:v>n.a.</x:v>
      </x:c>
      <x:c r="I462" s="30" t="str">
        <x:f>IF(COUNT(B462,F462:H462)=4,B462+F462+G462-H462,"n.a.")</x:f>
        <x:v>n.a.</x:v>
      </x:c>
      <x:c r="J462" s="30" t="str">
        <x:v>n.a.</x:v>
      </x:c>
      <x:c r="K462" s="17"/>
      <x:c r="L462" s="17"/>
      <x:c r="M462" s="17"/>
      <x:c r="N462" s="17"/>
    </x:row>
    <x:row r="463" ht="21" customHeight="1">
      <x:c r="A463" s="27" t="d">
        <x:v>2026-10-01T00:00:00.000Z</x:v>
      </x:c>
      <x:c r="B463" s="22" t="n">
        <x:f>SUMIFS('Cash'!$C$5:$C$97,'Cash'!$A$5:$A$97,"&lt;="&amp;A463)</x:f>
        <x:v>232420</x:v>
      </x:c>
      <x:c r="C463" s="22" t="n">
        <x:f>SUMIFS('Cash'!$C$5:$C$97,'Cash'!$A$5:$A$97,A463)</x:f>
        <x:v>0</x:v>
      </x:c>
      <x:c r="D463" s="22" t="n">
        <x:f>SUMIFS('Cash'!$C$5:$C$97,'Cash'!$A$5:$A$97,"&lt;="&amp;A463,'Cash'!$B$5:$B$97,"EXTERNAL_FUNDING")</x:f>
        <x:v>82848881</x:v>
      </x:c>
      <x:c r="E463" s="22" t="n">
        <x:f>SUMIFS('Cash'!$C$5:$C$97,'Cash'!$A$5:$A$97,"&lt;="&amp;A463,'Cash'!$B$5:$B$97,"DIVIDEND_NET")</x:f>
        <x:v>1339500</x:v>
      </x:c>
      <x:c r="F463" s="30" t="str">
        <x:v>n.a.</x:v>
      </x:c>
      <x:c r="G463" s="30" t="str">
        <x:v>n.a.</x:v>
      </x:c>
      <x:c r="H463" s="30" t="str">
        <x:v>n.a.</x:v>
      </x:c>
      <x:c r="I463" s="30" t="str">
        <x:f>IF(COUNT(B463,F463:H463)=4,B463+F463+G463-H463,"n.a.")</x:f>
        <x:v>n.a.</x:v>
      </x:c>
      <x:c r="J463" s="30" t="str">
        <x:v>n.a.</x:v>
      </x:c>
      <x:c r="K463" s="17"/>
      <x:c r="L463" s="17"/>
      <x:c r="M463" s="17"/>
      <x:c r="N463" s="17"/>
    </x:row>
    <x:row r="464" ht="21" customHeight="1">
      <x:c r="A464" s="27" t="d">
        <x:v>2026-10-02T00:00:00.000Z</x:v>
      </x:c>
      <x:c r="B464" s="22" t="n">
        <x:f>SUMIFS('Cash'!$C$5:$C$97,'Cash'!$A$5:$A$97,"&lt;="&amp;A464)</x:f>
        <x:v>232420</x:v>
      </x:c>
      <x:c r="C464" s="22" t="n">
        <x:f>SUMIFS('Cash'!$C$5:$C$97,'Cash'!$A$5:$A$97,A464)</x:f>
        <x:v>0</x:v>
      </x:c>
      <x:c r="D464" s="22" t="n">
        <x:f>SUMIFS('Cash'!$C$5:$C$97,'Cash'!$A$5:$A$97,"&lt;="&amp;A464,'Cash'!$B$5:$B$97,"EXTERNAL_FUNDING")</x:f>
        <x:v>82848881</x:v>
      </x:c>
      <x:c r="E464" s="22" t="n">
        <x:f>SUMIFS('Cash'!$C$5:$C$97,'Cash'!$A$5:$A$97,"&lt;="&amp;A464,'Cash'!$B$5:$B$97,"DIVIDEND_NET")</x:f>
        <x:v>1339500</x:v>
      </x:c>
      <x:c r="F464" s="30" t="str">
        <x:v>n.a.</x:v>
      </x:c>
      <x:c r="G464" s="30" t="str">
        <x:v>n.a.</x:v>
      </x:c>
      <x:c r="H464" s="30" t="str">
        <x:v>n.a.</x:v>
      </x:c>
      <x:c r="I464" s="30" t="str">
        <x:f>IF(COUNT(B464,F464:H464)=4,B464+F464+G464-H464,"n.a.")</x:f>
        <x:v>n.a.</x:v>
      </x:c>
      <x:c r="J464" s="30" t="str">
        <x:v>n.a.</x:v>
      </x:c>
      <x:c r="K464" s="17"/>
      <x:c r="L464" s="17"/>
      <x:c r="M464" s="17"/>
      <x:c r="N464" s="17"/>
    </x:row>
    <x:row r="465" ht="21" customHeight="1">
      <x:c r="A465" s="27" t="d">
        <x:v>2026-10-03T00:00:00.000Z</x:v>
      </x:c>
      <x:c r="B465" s="22" t="n">
        <x:f>SUMIFS('Cash'!$C$5:$C$97,'Cash'!$A$5:$A$97,"&lt;="&amp;A465)</x:f>
        <x:v>232420</x:v>
      </x:c>
      <x:c r="C465" s="22" t="n">
        <x:f>SUMIFS('Cash'!$C$5:$C$97,'Cash'!$A$5:$A$97,A465)</x:f>
        <x:v>0</x:v>
      </x:c>
      <x:c r="D465" s="22" t="n">
        <x:f>SUMIFS('Cash'!$C$5:$C$97,'Cash'!$A$5:$A$97,"&lt;="&amp;A465,'Cash'!$B$5:$B$97,"EXTERNAL_FUNDING")</x:f>
        <x:v>82848881</x:v>
      </x:c>
      <x:c r="E465" s="22" t="n">
        <x:f>SUMIFS('Cash'!$C$5:$C$97,'Cash'!$A$5:$A$97,"&lt;="&amp;A465,'Cash'!$B$5:$B$97,"DIVIDEND_NET")</x:f>
        <x:v>1339500</x:v>
      </x:c>
      <x:c r="F465" s="30" t="str">
        <x:v>n.a.</x:v>
      </x:c>
      <x:c r="G465" s="30" t="str">
        <x:v>n.a.</x:v>
      </x:c>
      <x:c r="H465" s="30" t="str">
        <x:v>n.a.</x:v>
      </x:c>
      <x:c r="I465" s="30" t="str">
        <x:f>IF(COUNT(B465,F465:H465)=4,B465+F465+G465-H465,"n.a.")</x:f>
        <x:v>n.a.</x:v>
      </x:c>
      <x:c r="J465" s="30" t="str">
        <x:v>n.a.</x:v>
      </x:c>
      <x:c r="K465" s="17"/>
      <x:c r="L465" s="17"/>
      <x:c r="M465" s="17"/>
      <x:c r="N465" s="17"/>
    </x:row>
    <x:row r="466" ht="21" customHeight="1">
      <x:c r="A466" s="27" t="d">
        <x:v>2026-10-04T00:00:00.000Z</x:v>
      </x:c>
      <x:c r="B466" s="22" t="n">
        <x:f>SUMIFS('Cash'!$C$5:$C$97,'Cash'!$A$5:$A$97,"&lt;="&amp;A466)</x:f>
        <x:v>232420</x:v>
      </x:c>
      <x:c r="C466" s="22" t="n">
        <x:f>SUMIFS('Cash'!$C$5:$C$97,'Cash'!$A$5:$A$97,A466)</x:f>
        <x:v>0</x:v>
      </x:c>
      <x:c r="D466" s="22" t="n">
        <x:f>SUMIFS('Cash'!$C$5:$C$97,'Cash'!$A$5:$A$97,"&lt;="&amp;A466,'Cash'!$B$5:$B$97,"EXTERNAL_FUNDING")</x:f>
        <x:v>82848881</x:v>
      </x:c>
      <x:c r="E466" s="22" t="n">
        <x:f>SUMIFS('Cash'!$C$5:$C$97,'Cash'!$A$5:$A$97,"&lt;="&amp;A466,'Cash'!$B$5:$B$97,"DIVIDEND_NET")</x:f>
        <x:v>1339500</x:v>
      </x:c>
      <x:c r="F466" s="30" t="str">
        <x:v>n.a.</x:v>
      </x:c>
      <x:c r="G466" s="30" t="str">
        <x:v>n.a.</x:v>
      </x:c>
      <x:c r="H466" s="30" t="str">
        <x:v>n.a.</x:v>
      </x:c>
      <x:c r="I466" s="30" t="str">
        <x:f>IF(COUNT(B466,F466:H466)=4,B466+F466+G466-H466,"n.a.")</x:f>
        <x:v>n.a.</x:v>
      </x:c>
      <x:c r="J466" s="30" t="str">
        <x:v>n.a.</x:v>
      </x:c>
      <x:c r="K466" s="17"/>
      <x:c r="L466" s="17"/>
      <x:c r="M466" s="17"/>
      <x:c r="N466" s="17"/>
    </x:row>
    <x:row r="467" ht="21" customHeight="1">
      <x:c r="A467" s="27" t="d">
        <x:v>2026-10-05T00:00:00.000Z</x:v>
      </x:c>
      <x:c r="B467" s="22" t="n">
        <x:f>SUMIFS('Cash'!$C$5:$C$97,'Cash'!$A$5:$A$97,"&lt;="&amp;A467)</x:f>
        <x:v>232420</x:v>
      </x:c>
      <x:c r="C467" s="22" t="n">
        <x:f>SUMIFS('Cash'!$C$5:$C$97,'Cash'!$A$5:$A$97,A467)</x:f>
        <x:v>0</x:v>
      </x:c>
      <x:c r="D467" s="22" t="n">
        <x:f>SUMIFS('Cash'!$C$5:$C$97,'Cash'!$A$5:$A$97,"&lt;="&amp;A467,'Cash'!$B$5:$B$97,"EXTERNAL_FUNDING")</x:f>
        <x:v>82848881</x:v>
      </x:c>
      <x:c r="E467" s="22" t="n">
        <x:f>SUMIFS('Cash'!$C$5:$C$97,'Cash'!$A$5:$A$97,"&lt;="&amp;A467,'Cash'!$B$5:$B$97,"DIVIDEND_NET")</x:f>
        <x:v>1339500</x:v>
      </x:c>
      <x:c r="F467" s="30" t="str">
        <x:v>n.a.</x:v>
      </x:c>
      <x:c r="G467" s="30" t="str">
        <x:v>n.a.</x:v>
      </x:c>
      <x:c r="H467" s="30" t="str">
        <x:v>n.a.</x:v>
      </x:c>
      <x:c r="I467" s="30" t="str">
        <x:f>IF(COUNT(B467,F467:H467)=4,B467+F467+G467-H467,"n.a.")</x:f>
        <x:v>n.a.</x:v>
      </x:c>
      <x:c r="J467" s="30" t="str">
        <x:v>n.a.</x:v>
      </x:c>
      <x:c r="K467" s="17"/>
      <x:c r="L467" s="17"/>
      <x:c r="M467" s="17"/>
      <x:c r="N467" s="17"/>
    </x:row>
    <x:row r="468" ht="21" customHeight="1">
      <x:c r="A468" s="27" t="d">
        <x:v>2026-10-06T00:00:00.000Z</x:v>
      </x:c>
      <x:c r="B468" s="22" t="n">
        <x:f>SUMIFS('Cash'!$C$5:$C$97,'Cash'!$A$5:$A$97,"&lt;="&amp;A468)</x:f>
        <x:v>232420</x:v>
      </x:c>
      <x:c r="C468" s="22" t="n">
        <x:f>SUMIFS('Cash'!$C$5:$C$97,'Cash'!$A$5:$A$97,A468)</x:f>
        <x:v>0</x:v>
      </x:c>
      <x:c r="D468" s="22" t="n">
        <x:f>SUMIFS('Cash'!$C$5:$C$97,'Cash'!$A$5:$A$97,"&lt;="&amp;A468,'Cash'!$B$5:$B$97,"EXTERNAL_FUNDING")</x:f>
        <x:v>82848881</x:v>
      </x:c>
      <x:c r="E468" s="22" t="n">
        <x:f>SUMIFS('Cash'!$C$5:$C$97,'Cash'!$A$5:$A$97,"&lt;="&amp;A468,'Cash'!$B$5:$B$97,"DIVIDEND_NET")</x:f>
        <x:v>1339500</x:v>
      </x:c>
      <x:c r="F468" s="30" t="str">
        <x:v>n.a.</x:v>
      </x:c>
      <x:c r="G468" s="30" t="str">
        <x:v>n.a.</x:v>
      </x:c>
      <x:c r="H468" s="30" t="str">
        <x:v>n.a.</x:v>
      </x:c>
      <x:c r="I468" s="30" t="str">
        <x:f>IF(COUNT(B468,F468:H468)=4,B468+F468+G468-H468,"n.a.")</x:f>
        <x:v>n.a.</x:v>
      </x:c>
      <x:c r="J468" s="30" t="str">
        <x:v>n.a.</x:v>
      </x:c>
      <x:c r="K468" s="17"/>
      <x:c r="L468" s="17"/>
      <x:c r="M468" s="17"/>
      <x:c r="N468" s="17"/>
    </x:row>
    <x:row r="469" ht="21" customHeight="1">
      <x:c r="A469" s="27" t="d">
        <x:v>2026-10-07T00:00:00.000Z</x:v>
      </x:c>
      <x:c r="B469" s="22" t="n">
        <x:f>SUMIFS('Cash'!$C$5:$C$97,'Cash'!$A$5:$A$97,"&lt;="&amp;A469)</x:f>
        <x:v>232420</x:v>
      </x:c>
      <x:c r="C469" s="22" t="n">
        <x:f>SUMIFS('Cash'!$C$5:$C$97,'Cash'!$A$5:$A$97,A469)</x:f>
        <x:v>0</x:v>
      </x:c>
      <x:c r="D469" s="22" t="n">
        <x:f>SUMIFS('Cash'!$C$5:$C$97,'Cash'!$A$5:$A$97,"&lt;="&amp;A469,'Cash'!$B$5:$B$97,"EXTERNAL_FUNDING")</x:f>
        <x:v>82848881</x:v>
      </x:c>
      <x:c r="E469" s="22" t="n">
        <x:f>SUMIFS('Cash'!$C$5:$C$97,'Cash'!$A$5:$A$97,"&lt;="&amp;A469,'Cash'!$B$5:$B$97,"DIVIDEND_NET")</x:f>
        <x:v>1339500</x:v>
      </x:c>
      <x:c r="F469" s="30" t="str">
        <x:v>n.a.</x:v>
      </x:c>
      <x:c r="G469" s="30" t="str">
        <x:v>n.a.</x:v>
      </x:c>
      <x:c r="H469" s="30" t="str">
        <x:v>n.a.</x:v>
      </x:c>
      <x:c r="I469" s="30" t="str">
        <x:f>IF(COUNT(B469,F469:H469)=4,B469+F469+G469-H469,"n.a.")</x:f>
        <x:v>n.a.</x:v>
      </x:c>
      <x:c r="J469" s="30" t="n">
        <x:v>78915815</x:v>
      </x:c>
      <x:c r="K469" s="17"/>
      <x:c r="L469" s="17"/>
      <x:c r="M469" s="17"/>
      <x:c r="N469" s="17"/>
    </x:row>
    <x:row r="470" ht="21" customHeight="1">
      <x:c r="A470" s="27" t="d">
        <x:v>2026-10-08T00:00:00.000Z</x:v>
      </x:c>
      <x:c r="B470" s="22" t="n">
        <x:f>SUMIFS('Cash'!$C$5:$C$97,'Cash'!$A$5:$A$97,"&lt;="&amp;A470)</x:f>
        <x:v>232420</x:v>
      </x:c>
      <x:c r="C470" s="22" t="n">
        <x:f>SUMIFS('Cash'!$C$5:$C$97,'Cash'!$A$5:$A$97,A470)</x:f>
        <x:v>0</x:v>
      </x:c>
      <x:c r="D470" s="22" t="n">
        <x:f>SUMIFS('Cash'!$C$5:$C$97,'Cash'!$A$5:$A$97,"&lt;="&amp;A470,'Cash'!$B$5:$B$97,"EXTERNAL_FUNDING")</x:f>
        <x:v>82848881</x:v>
      </x:c>
      <x:c r="E470" s="22" t="n">
        <x:f>SUMIFS('Cash'!$C$5:$C$97,'Cash'!$A$5:$A$97,"&lt;="&amp;A470,'Cash'!$B$5:$B$97,"DIVIDEND_NET")</x:f>
        <x:v>1339500</x:v>
      </x:c>
      <x:c r="F470" s="30" t="str">
        <x:v>n.a.</x:v>
      </x:c>
      <x:c r="G470" s="30" t="str">
        <x:v>n.a.</x:v>
      </x:c>
      <x:c r="H470" s="30" t="str">
        <x:v>n.a.</x:v>
      </x:c>
      <x:c r="I470" s="30" t="str">
        <x:f>IF(COUNT(B470,F470:H470)=4,B470+F470+G470-H470,"n.a.")</x:f>
        <x:v>n.a.</x:v>
      </x:c>
      <x:c r="J470" s="30" t="str">
        <x:v>n.a.</x:v>
      </x:c>
      <x:c r="K470" s="17"/>
      <x:c r="L470" s="17"/>
      <x:c r="M470" s="17"/>
      <x:c r="N470" s="17"/>
    </x:row>
    <x:row r="471" ht="21" customHeight="1">
      <x:c r="A471" s="27" t="d">
        <x:v>2026-10-09T00:00:00.000Z</x:v>
      </x:c>
      <x:c r="B471" s="22" t="n">
        <x:f>SUMIFS('Cash'!$C$5:$C$97,'Cash'!$A$5:$A$97,"&lt;="&amp;A471)</x:f>
        <x:v>232420</x:v>
      </x:c>
      <x:c r="C471" s="22" t="n">
        <x:f>SUMIFS('Cash'!$C$5:$C$97,'Cash'!$A$5:$A$97,A471)</x:f>
        <x:v>0</x:v>
      </x:c>
      <x:c r="D471" s="22" t="n">
        <x:f>SUMIFS('Cash'!$C$5:$C$97,'Cash'!$A$5:$A$97,"&lt;="&amp;A471,'Cash'!$B$5:$B$97,"EXTERNAL_FUNDING")</x:f>
        <x:v>82848881</x:v>
      </x:c>
      <x:c r="E471" s="22" t="n">
        <x:f>SUMIFS('Cash'!$C$5:$C$97,'Cash'!$A$5:$A$97,"&lt;="&amp;A471,'Cash'!$B$5:$B$97,"DIVIDEND_NET")</x:f>
        <x:v>1339500</x:v>
      </x:c>
      <x:c r="F471" s="30" t="str">
        <x:v>n.a.</x:v>
      </x:c>
      <x:c r="G471" s="30" t="str">
        <x:v>n.a.</x:v>
      </x:c>
      <x:c r="H471" s="30" t="str">
        <x:v>n.a.</x:v>
      </x:c>
      <x:c r="I471" s="30" t="str">
        <x:f>IF(COUNT(B471,F471:H471)=4,B471+F471+G471-H471,"n.a.")</x:f>
        <x:v>n.a.</x:v>
      </x:c>
      <x:c r="J471" s="30" t="str">
        <x:v>n.a.</x:v>
      </x:c>
      <x:c r="K471" s="17"/>
      <x:c r="L471" s="17"/>
      <x:c r="M471" s="17"/>
      <x:c r="N471" s="17"/>
    </x:row>
    <x:row r="472" ht="21" customHeight="1">
      <x:c r="A472" s="27" t="d">
        <x:v>2026-10-10T00:00:00.000Z</x:v>
      </x:c>
      <x:c r="B472" s="22" t="n">
        <x:f>SUMIFS('Cash'!$C$5:$C$97,'Cash'!$A$5:$A$97,"&lt;="&amp;A472)</x:f>
        <x:v>232420</x:v>
      </x:c>
      <x:c r="C472" s="22" t="n">
        <x:f>SUMIFS('Cash'!$C$5:$C$97,'Cash'!$A$5:$A$97,A472)</x:f>
        <x:v>0</x:v>
      </x:c>
      <x:c r="D472" s="22" t="n">
        <x:f>SUMIFS('Cash'!$C$5:$C$97,'Cash'!$A$5:$A$97,"&lt;="&amp;A472,'Cash'!$B$5:$B$97,"EXTERNAL_FUNDING")</x:f>
        <x:v>82848881</x:v>
      </x:c>
      <x:c r="E472" s="22" t="n">
        <x:f>SUMIFS('Cash'!$C$5:$C$97,'Cash'!$A$5:$A$97,"&lt;="&amp;A472,'Cash'!$B$5:$B$97,"DIVIDEND_NET")</x:f>
        <x:v>1339500</x:v>
      </x:c>
      <x:c r="F472" s="30" t="str">
        <x:v>n.a.</x:v>
      </x:c>
      <x:c r="G472" s="30" t="str">
        <x:v>n.a.</x:v>
      </x:c>
      <x:c r="H472" s="30" t="str">
        <x:v>n.a.</x:v>
      </x:c>
      <x:c r="I472" s="30" t="str">
        <x:f>IF(COUNT(B472,F472:H472)=4,B472+F472+G472-H472,"n.a.")</x:f>
        <x:v>n.a.</x:v>
      </x:c>
      <x:c r="J472" s="30" t="str">
        <x:v>n.a.</x:v>
      </x:c>
      <x:c r="K472" s="17"/>
      <x:c r="L472" s="17"/>
      <x:c r="M472" s="17"/>
      <x:c r="N472" s="17"/>
    </x:row>
    <x:row r="473" ht="21" customHeight="1">
      <x:c r="A473" s="27" t="d">
        <x:v>2026-10-11T00:00:00.000Z</x:v>
      </x:c>
      <x:c r="B473" s="22" t="n">
        <x:f>SUMIFS('Cash'!$C$5:$C$97,'Cash'!$A$5:$A$97,"&lt;="&amp;A473)</x:f>
        <x:v>232420</x:v>
      </x:c>
      <x:c r="C473" s="22" t="n">
        <x:f>SUMIFS('Cash'!$C$5:$C$97,'Cash'!$A$5:$A$97,A473)</x:f>
        <x:v>0</x:v>
      </x:c>
      <x:c r="D473" s="22" t="n">
        <x:f>SUMIFS('Cash'!$C$5:$C$97,'Cash'!$A$5:$A$97,"&lt;="&amp;A473,'Cash'!$B$5:$B$97,"EXTERNAL_FUNDING")</x:f>
        <x:v>82848881</x:v>
      </x:c>
      <x:c r="E473" s="22" t="n">
        <x:f>SUMIFS('Cash'!$C$5:$C$97,'Cash'!$A$5:$A$97,"&lt;="&amp;A473,'Cash'!$B$5:$B$97,"DIVIDEND_NET")</x:f>
        <x:v>1339500</x:v>
      </x:c>
      <x:c r="F473" s="30" t="str">
        <x:v>n.a.</x:v>
      </x:c>
      <x:c r="G473" s="30" t="str">
        <x:v>n.a.</x:v>
      </x:c>
      <x:c r="H473" s="30" t="str">
        <x:v>n.a.</x:v>
      </x:c>
      <x:c r="I473" s="30" t="str">
        <x:f>IF(COUNT(B473,F473:H473)=4,B473+F473+G473-H473,"n.a.")</x:f>
        <x:v>n.a.</x:v>
      </x:c>
      <x:c r="J473" s="30" t="str">
        <x:v>n.a.</x:v>
      </x:c>
      <x:c r="K473" s="17"/>
      <x:c r="L473" s="17"/>
      <x:c r="M473" s="17"/>
      <x:c r="N473" s="17"/>
    </x:row>
    <x:row r="474" ht="21" customHeight="1">
      <x:c r="A474" s="27" t="d">
        <x:v>2026-10-12T00:00:00.000Z</x:v>
      </x:c>
      <x:c r="B474" s="22" t="n">
        <x:f>SUMIFS('Cash'!$C$5:$C$97,'Cash'!$A$5:$A$97,"&lt;="&amp;A474)</x:f>
        <x:v>232420</x:v>
      </x:c>
      <x:c r="C474" s="22" t="n">
        <x:f>SUMIFS('Cash'!$C$5:$C$97,'Cash'!$A$5:$A$97,A474)</x:f>
        <x:v>0</x:v>
      </x:c>
      <x:c r="D474" s="22" t="n">
        <x:f>SUMIFS('Cash'!$C$5:$C$97,'Cash'!$A$5:$A$97,"&lt;="&amp;A474,'Cash'!$B$5:$B$97,"EXTERNAL_FUNDING")</x:f>
        <x:v>82848881</x:v>
      </x:c>
      <x:c r="E474" s="22" t="n">
        <x:f>SUMIFS('Cash'!$C$5:$C$97,'Cash'!$A$5:$A$97,"&lt;="&amp;A474,'Cash'!$B$5:$B$97,"DIVIDEND_NET")</x:f>
        <x:v>1339500</x:v>
      </x:c>
      <x:c r="F474" s="30" t="str">
        <x:v>n.a.</x:v>
      </x:c>
      <x:c r="G474" s="30" t="str">
        <x:v>n.a.</x:v>
      </x:c>
      <x:c r="H474" s="30" t="str">
        <x:v>n.a.</x:v>
      </x:c>
      <x:c r="I474" s="30" t="str">
        <x:f>IF(COUNT(B474,F474:H474)=4,B474+F474+G474-H474,"n.a.")</x:f>
        <x:v>n.a.</x:v>
      </x:c>
      <x:c r="J474" s="30" t="str">
        <x:v>n.a.</x:v>
      </x:c>
      <x:c r="K474" s="17"/>
      <x:c r="L474" s="17"/>
      <x:c r="M474" s="17"/>
      <x:c r="N474" s="17"/>
    </x:row>
    <x:row r="475" ht="21" customHeight="1">
      <x:c r="A475" s="27" t="d">
        <x:v>2026-10-13T00:00:00.000Z</x:v>
      </x:c>
      <x:c r="B475" s="22" t="n">
        <x:f>SUMIFS('Cash'!$C$5:$C$97,'Cash'!$A$5:$A$97,"&lt;="&amp;A475)</x:f>
        <x:v>232420</x:v>
      </x:c>
      <x:c r="C475" s="22" t="n">
        <x:f>SUMIFS('Cash'!$C$5:$C$97,'Cash'!$A$5:$A$97,A475)</x:f>
        <x:v>0</x:v>
      </x:c>
      <x:c r="D475" s="22" t="n">
        <x:f>SUMIFS('Cash'!$C$5:$C$97,'Cash'!$A$5:$A$97,"&lt;="&amp;A475,'Cash'!$B$5:$B$97,"EXTERNAL_FUNDING")</x:f>
        <x:v>82848881</x:v>
      </x:c>
      <x:c r="E475" s="22" t="n">
        <x:f>SUMIFS('Cash'!$C$5:$C$97,'Cash'!$A$5:$A$97,"&lt;="&amp;A475,'Cash'!$B$5:$B$97,"DIVIDEND_NET")</x:f>
        <x:v>1339500</x:v>
      </x:c>
      <x:c r="F475" s="30" t="str">
        <x:v>n.a.</x:v>
      </x:c>
      <x:c r="G475" s="30" t="str">
        <x:v>n.a.</x:v>
      </x:c>
      <x:c r="H475" s="30" t="str">
        <x:v>n.a.</x:v>
      </x:c>
      <x:c r="I475" s="30" t="str">
        <x:f>IF(COUNT(B475,F475:H475)=4,B475+F475+G475-H475,"n.a.")</x:f>
        <x:v>n.a.</x:v>
      </x:c>
      <x:c r="J475" s="30" t="str">
        <x:v>n.a.</x:v>
      </x:c>
      <x:c r="K475" s="17"/>
      <x:c r="L475" s="17"/>
      <x:c r="M475" s="17"/>
      <x:c r="N475" s="17"/>
    </x:row>
    <x:row r="476" ht="21" customHeight="1">
      <x:c r="A476" s="27" t="d">
        <x:v>2026-10-14T00:00:00.000Z</x:v>
      </x:c>
      <x:c r="B476" s="22" t="n">
        <x:f>SUMIFS('Cash'!$C$5:$C$97,'Cash'!$A$5:$A$97,"&lt;="&amp;A476)</x:f>
        <x:v>232420</x:v>
      </x:c>
      <x:c r="C476" s="22" t="n">
        <x:f>SUMIFS('Cash'!$C$5:$C$97,'Cash'!$A$5:$A$97,A476)</x:f>
        <x:v>0</x:v>
      </x:c>
      <x:c r="D476" s="22" t="n">
        <x:f>SUMIFS('Cash'!$C$5:$C$97,'Cash'!$A$5:$A$97,"&lt;="&amp;A476,'Cash'!$B$5:$B$97,"EXTERNAL_FUNDING")</x:f>
        <x:v>82848881</x:v>
      </x:c>
      <x:c r="E476" s="22" t="n">
        <x:f>SUMIFS('Cash'!$C$5:$C$97,'Cash'!$A$5:$A$97,"&lt;="&amp;A476,'Cash'!$B$5:$B$97,"DIVIDEND_NET")</x:f>
        <x:v>1339500</x:v>
      </x:c>
      <x:c r="F476" s="30" t="str">
        <x:v>n.a.</x:v>
      </x:c>
      <x:c r="G476" s="30" t="str">
        <x:v>n.a.</x:v>
      </x:c>
      <x:c r="H476" s="30" t="str">
        <x:v>n.a.</x:v>
      </x:c>
      <x:c r="I476" s="30" t="str">
        <x:f>IF(COUNT(B476,F476:H476)=4,B476+F476+G476-H476,"n.a.")</x:f>
        <x:v>n.a.</x:v>
      </x:c>
      <x:c r="J476" s="30" t="str">
        <x:v>n.a.</x:v>
      </x:c>
      <x:c r="K476" s="17"/>
      <x:c r="L476" s="17"/>
      <x:c r="M476" s="17"/>
      <x:c r="N476" s="17"/>
    </x:row>
    <x:row r="477" ht="21" customHeight="1">
      <x:c r="A477" s="27" t="d">
        <x:v>2026-10-15T00:00:00.000Z</x:v>
      </x:c>
      <x:c r="B477" s="22" t="n">
        <x:f>SUMIFS('Cash'!$C$5:$C$97,'Cash'!$A$5:$A$97,"&lt;="&amp;A477)</x:f>
        <x:v>232420</x:v>
      </x:c>
      <x:c r="C477" s="22" t="n">
        <x:f>SUMIFS('Cash'!$C$5:$C$97,'Cash'!$A$5:$A$97,A477)</x:f>
        <x:v>0</x:v>
      </x:c>
      <x:c r="D477" s="22" t="n">
        <x:f>SUMIFS('Cash'!$C$5:$C$97,'Cash'!$A$5:$A$97,"&lt;="&amp;A477,'Cash'!$B$5:$B$97,"EXTERNAL_FUNDING")</x:f>
        <x:v>82848881</x:v>
      </x:c>
      <x:c r="E477" s="22" t="n">
        <x:f>SUMIFS('Cash'!$C$5:$C$97,'Cash'!$A$5:$A$97,"&lt;="&amp;A477,'Cash'!$B$5:$B$97,"DIVIDEND_NET")</x:f>
        <x:v>1339500</x:v>
      </x:c>
      <x:c r="F477" s="30" t="str">
        <x:v>n.a.</x:v>
      </x:c>
      <x:c r="G477" s="30" t="str">
        <x:v>n.a.</x:v>
      </x:c>
      <x:c r="H477" s="30" t="str">
        <x:v>n.a.</x:v>
      </x:c>
      <x:c r="I477" s="30" t="str">
        <x:f>IF(COUNT(B477,F477:H477)=4,B477+F477+G477-H477,"n.a.")</x:f>
        <x:v>n.a.</x:v>
      </x:c>
      <x:c r="J477" s="30" t="str">
        <x:v>n.a.</x:v>
      </x:c>
      <x:c r="K477" s="17"/>
      <x:c r="L477" s="17"/>
      <x:c r="M477" s="17"/>
      <x:c r="N477" s="17"/>
    </x:row>
    <x:row r="478" ht="21" customHeight="1">
      <x:c r="A478" s="27" t="d">
        <x:v>2026-10-16T00:00:00.000Z</x:v>
      </x:c>
      <x:c r="B478" s="22" t="n">
        <x:f>SUMIFS('Cash'!$C$5:$C$97,'Cash'!$A$5:$A$97,"&lt;="&amp;A478)</x:f>
        <x:v>327420</x:v>
      </x:c>
      <x:c r="C478" s="22" t="n">
        <x:f>SUMIFS('Cash'!$C$5:$C$97,'Cash'!$A$5:$A$97,A478)</x:f>
        <x:v>95000</x:v>
      </x:c>
      <x:c r="D478" s="22" t="n">
        <x:f>SUMIFS('Cash'!$C$5:$C$97,'Cash'!$A$5:$A$97,"&lt;="&amp;A478,'Cash'!$B$5:$B$97,"EXTERNAL_FUNDING")</x:f>
        <x:v>82848881</x:v>
      </x:c>
      <x:c r="E478" s="22" t="n">
        <x:f>SUMIFS('Cash'!$C$5:$C$97,'Cash'!$A$5:$A$97,"&lt;="&amp;A478,'Cash'!$B$5:$B$97,"DIVIDEND_NET")</x:f>
        <x:v>1434500</x:v>
      </x:c>
      <x:c r="F478" s="30" t="str">
        <x:v>n.a.</x:v>
      </x:c>
      <x:c r="G478" s="30" t="str">
        <x:v>n.a.</x:v>
      </x:c>
      <x:c r="H478" s="30" t="str">
        <x:v>n.a.</x:v>
      </x:c>
      <x:c r="I478" s="30" t="str">
        <x:f>IF(COUNT(B478,F478:H478)=4,B478+F478+G478-H478,"n.a.")</x:f>
        <x:v>n.a.</x:v>
      </x:c>
      <x:c r="J478" s="30" t="str">
        <x:v>n.a.</x:v>
      </x:c>
      <x:c r="K478" s="17"/>
      <x:c r="L478" s="17"/>
      <x:c r="M478" s="17"/>
      <x:c r="N478" s="17"/>
    </x:row>
    <x:row r="479" ht="21" customHeight="1">
      <x:c r="A479" s="27" t="d">
        <x:v>2026-10-17T00:00:00.000Z</x:v>
      </x:c>
      <x:c r="B479" s="22" t="n">
        <x:f>SUMIFS('Cash'!$C$5:$C$97,'Cash'!$A$5:$A$97,"&lt;="&amp;A479)</x:f>
        <x:v>327420</x:v>
      </x:c>
      <x:c r="C479" s="22" t="n">
        <x:f>SUMIFS('Cash'!$C$5:$C$97,'Cash'!$A$5:$A$97,A479)</x:f>
        <x:v>0</x:v>
      </x:c>
      <x:c r="D479" s="22" t="n">
        <x:f>SUMIFS('Cash'!$C$5:$C$97,'Cash'!$A$5:$A$97,"&lt;="&amp;A479,'Cash'!$B$5:$B$97,"EXTERNAL_FUNDING")</x:f>
        <x:v>82848881</x:v>
      </x:c>
      <x:c r="E479" s="22" t="n">
        <x:f>SUMIFS('Cash'!$C$5:$C$97,'Cash'!$A$5:$A$97,"&lt;="&amp;A479,'Cash'!$B$5:$B$97,"DIVIDEND_NET")</x:f>
        <x:v>1434500</x:v>
      </x:c>
      <x:c r="F479" s="30" t="str">
        <x:v>n.a.</x:v>
      </x:c>
      <x:c r="G479" s="30" t="str">
        <x:v>n.a.</x:v>
      </x:c>
      <x:c r="H479" s="30" t="str">
        <x:v>n.a.</x:v>
      </x:c>
      <x:c r="I479" s="30" t="str">
        <x:f>IF(COUNT(B479,F479:H479)=4,B479+F479+G479-H479,"n.a.")</x:f>
        <x:v>n.a.</x:v>
      </x:c>
      <x:c r="J479" s="30" t="str">
        <x:v>n.a.</x:v>
      </x:c>
      <x:c r="K479" s="17"/>
      <x:c r="L479" s="17"/>
      <x:c r="M479" s="17"/>
      <x:c r="N479" s="17"/>
    </x:row>
    <x:row r="480" ht="21" customHeight="1">
      <x:c r="A480" s="27" t="d">
        <x:v>2026-10-18T00:00:00.000Z</x:v>
      </x:c>
      <x:c r="B480" s="22" t="n">
        <x:f>SUMIFS('Cash'!$C$5:$C$97,'Cash'!$A$5:$A$97,"&lt;="&amp;A480)</x:f>
        <x:v>327420</x:v>
      </x:c>
      <x:c r="C480" s="22" t="n">
        <x:f>SUMIFS('Cash'!$C$5:$C$97,'Cash'!$A$5:$A$97,A480)</x:f>
        <x:v>0</x:v>
      </x:c>
      <x:c r="D480" s="22" t="n">
        <x:f>SUMIFS('Cash'!$C$5:$C$97,'Cash'!$A$5:$A$97,"&lt;="&amp;A480,'Cash'!$B$5:$B$97,"EXTERNAL_FUNDING")</x:f>
        <x:v>82848881</x:v>
      </x:c>
      <x:c r="E480" s="22" t="n">
        <x:f>SUMIFS('Cash'!$C$5:$C$97,'Cash'!$A$5:$A$97,"&lt;="&amp;A480,'Cash'!$B$5:$B$97,"DIVIDEND_NET")</x:f>
        <x:v>1434500</x:v>
      </x:c>
      <x:c r="F480" s="30" t="str">
        <x:v>n.a.</x:v>
      </x:c>
      <x:c r="G480" s="30" t="str">
        <x:v>n.a.</x:v>
      </x:c>
      <x:c r="H480" s="30" t="str">
        <x:v>n.a.</x:v>
      </x:c>
      <x:c r="I480" s="30" t="str">
        <x:f>IF(COUNT(B480,F480:H480)=4,B480+F480+G480-H480,"n.a.")</x:f>
        <x:v>n.a.</x:v>
      </x:c>
      <x:c r="J480" s="30" t="str">
        <x:v>n.a.</x:v>
      </x:c>
      <x:c r="K480" s="17"/>
      <x:c r="L480" s="17"/>
      <x:c r="M480" s="17"/>
      <x:c r="N480" s="17"/>
    </x:row>
    <x:row r="481" ht="21" customHeight="1">
      <x:c r="A481" s="27" t="d">
        <x:v>2026-10-19T00:00:00.000Z</x:v>
      </x:c>
      <x:c r="B481" s="22" t="n">
        <x:f>SUMIFS('Cash'!$C$5:$C$97,'Cash'!$A$5:$A$97,"&lt;="&amp;A481)</x:f>
        <x:v>327420</x:v>
      </x:c>
      <x:c r="C481" s="22" t="n">
        <x:f>SUMIFS('Cash'!$C$5:$C$97,'Cash'!$A$5:$A$97,A481)</x:f>
        <x:v>0</x:v>
      </x:c>
      <x:c r="D481" s="22" t="n">
        <x:f>SUMIFS('Cash'!$C$5:$C$97,'Cash'!$A$5:$A$97,"&lt;="&amp;A481,'Cash'!$B$5:$B$97,"EXTERNAL_FUNDING")</x:f>
        <x:v>82848881</x:v>
      </x:c>
      <x:c r="E481" s="22" t="n">
        <x:f>SUMIFS('Cash'!$C$5:$C$97,'Cash'!$A$5:$A$97,"&lt;="&amp;A481,'Cash'!$B$5:$B$97,"DIVIDEND_NET")</x:f>
        <x:v>1434500</x:v>
      </x:c>
      <x:c r="F481" s="30" t="str">
        <x:v>n.a.</x:v>
      </x:c>
      <x:c r="G481" s="30" t="str">
        <x:v>n.a.</x:v>
      </x:c>
      <x:c r="H481" s="30" t="str">
        <x:v>n.a.</x:v>
      </x:c>
      <x:c r="I481" s="30" t="str">
        <x:f>IF(COUNT(B481,F481:H481)=4,B481+F481+G481-H481,"n.a.")</x:f>
        <x:v>n.a.</x:v>
      </x:c>
      <x:c r="J481" s="30" t="str">
        <x:v>n.a.</x:v>
      </x:c>
      <x:c r="K481" s="17"/>
      <x:c r="L481" s="17"/>
      <x:c r="M481" s="17"/>
      <x:c r="N481" s="17"/>
    </x:row>
    <x:row r="482" ht="21" customHeight="1">
      <x:c r="A482" s="27" t="d">
        <x:v>2026-10-20T00:00:00.000Z</x:v>
      </x:c>
      <x:c r="B482" s="22" t="n">
        <x:f>SUMIFS('Cash'!$C$5:$C$97,'Cash'!$A$5:$A$97,"&lt;="&amp;A482)</x:f>
        <x:v>327420</x:v>
      </x:c>
      <x:c r="C482" s="22" t="n">
        <x:f>SUMIFS('Cash'!$C$5:$C$97,'Cash'!$A$5:$A$97,A482)</x:f>
        <x:v>0</x:v>
      </x:c>
      <x:c r="D482" s="22" t="n">
        <x:f>SUMIFS('Cash'!$C$5:$C$97,'Cash'!$A$5:$A$97,"&lt;="&amp;A482,'Cash'!$B$5:$B$97,"EXTERNAL_FUNDING")</x:f>
        <x:v>82848881</x:v>
      </x:c>
      <x:c r="E482" s="22" t="n">
        <x:f>SUMIFS('Cash'!$C$5:$C$97,'Cash'!$A$5:$A$97,"&lt;="&amp;A482,'Cash'!$B$5:$B$97,"DIVIDEND_NET")</x:f>
        <x:v>1434500</x:v>
      </x:c>
      <x:c r="F482" s="30" t="str">
        <x:v>n.a.</x:v>
      </x:c>
      <x:c r="G482" s="30" t="str">
        <x:v>n.a.</x:v>
      </x:c>
      <x:c r="H482" s="30" t="str">
        <x:v>n.a.</x:v>
      </x:c>
      <x:c r="I482" s="30" t="str">
        <x:f>IF(COUNT(B482,F482:H482)=4,B482+F482+G482-H482,"n.a.")</x:f>
        <x:v>n.a.</x:v>
      </x:c>
      <x:c r="J482" s="30" t="str">
        <x:v>n.a.</x:v>
      </x:c>
      <x:c r="K482" s="17"/>
      <x:c r="L482" s="17"/>
      <x:c r="M482" s="17"/>
      <x:c r="N482" s="17"/>
    </x:row>
    <x:row r="483" ht="21" customHeight="1">
      <x:c r="A483" s="27" t="d">
        <x:v>2026-10-21T00:00:00.000Z</x:v>
      </x:c>
      <x:c r="B483" s="22" t="n">
        <x:f>SUMIFS('Cash'!$C$5:$C$97,'Cash'!$A$5:$A$97,"&lt;="&amp;A483)</x:f>
        <x:v>327420</x:v>
      </x:c>
      <x:c r="C483" s="22" t="n">
        <x:f>SUMIFS('Cash'!$C$5:$C$97,'Cash'!$A$5:$A$97,A483)</x:f>
        <x:v>0</x:v>
      </x:c>
      <x:c r="D483" s="22" t="n">
        <x:f>SUMIFS('Cash'!$C$5:$C$97,'Cash'!$A$5:$A$97,"&lt;="&amp;A483,'Cash'!$B$5:$B$97,"EXTERNAL_FUNDING")</x:f>
        <x:v>82848881</x:v>
      </x:c>
      <x:c r="E483" s="22" t="n">
        <x:f>SUMIFS('Cash'!$C$5:$C$97,'Cash'!$A$5:$A$97,"&lt;="&amp;A483,'Cash'!$B$5:$B$97,"DIVIDEND_NET")</x:f>
        <x:v>1434500</x:v>
      </x:c>
      <x:c r="F483" s="30" t="str">
        <x:v>n.a.</x:v>
      </x:c>
      <x:c r="G483" s="30" t="str">
        <x:v>n.a.</x:v>
      </x:c>
      <x:c r="H483" s="30" t="str">
        <x:v>n.a.</x:v>
      </x:c>
      <x:c r="I483" s="30" t="str">
        <x:f>IF(COUNT(B483,F483:H483)=4,B483+F483+G483-H483,"n.a.")</x:f>
        <x:v>n.a.</x:v>
      </x:c>
      <x:c r="J483" s="30" t="str">
        <x:v>n.a.</x:v>
      </x:c>
      <x:c r="K483" s="17"/>
      <x:c r="L483" s="17"/>
      <x:c r="M483" s="17"/>
      <x:c r="N483" s="17"/>
    </x:row>
    <x:row r="484" ht="21" customHeight="1">
      <x:c r="A484" s="27" t="d">
        <x:v>2026-10-22T00:00:00.000Z</x:v>
      </x:c>
      <x:c r="B484" s="22" t="n">
        <x:f>SUMIFS('Cash'!$C$5:$C$97,'Cash'!$A$5:$A$97,"&lt;="&amp;A484)</x:f>
        <x:v>327420</x:v>
      </x:c>
      <x:c r="C484" s="22" t="n">
        <x:f>SUMIFS('Cash'!$C$5:$C$97,'Cash'!$A$5:$A$97,A484)</x:f>
        <x:v>0</x:v>
      </x:c>
      <x:c r="D484" s="22" t="n">
        <x:f>SUMIFS('Cash'!$C$5:$C$97,'Cash'!$A$5:$A$97,"&lt;="&amp;A484,'Cash'!$B$5:$B$97,"EXTERNAL_FUNDING")</x:f>
        <x:v>82848881</x:v>
      </x:c>
      <x:c r="E484" s="22" t="n">
        <x:f>SUMIFS('Cash'!$C$5:$C$97,'Cash'!$A$5:$A$97,"&lt;="&amp;A484,'Cash'!$B$5:$B$97,"DIVIDEND_NET")</x:f>
        <x:v>1434500</x:v>
      </x:c>
      <x:c r="F484" s="30" t="str">
        <x:v>n.a.</x:v>
      </x:c>
      <x:c r="G484" s="30" t="str">
        <x:v>n.a.</x:v>
      </x:c>
      <x:c r="H484" s="30" t="str">
        <x:v>n.a.</x:v>
      </x:c>
      <x:c r="I484" s="30" t="str">
        <x:f>IF(COUNT(B484,F484:H484)=4,B484+F484+G484-H484,"n.a.")</x:f>
        <x:v>n.a.</x:v>
      </x:c>
      <x:c r="J484" s="30" t="str">
        <x:v>n.a.</x:v>
      </x:c>
      <x:c r="K484" s="17"/>
      <x:c r="L484" s="17"/>
      <x:c r="M484" s="17"/>
      <x:c r="N484" s="17"/>
    </x:row>
    <x:row r="485" ht="21" customHeight="1">
      <x:c r="A485" s="27" t="d">
        <x:v>2026-10-23T00:00:00.000Z</x:v>
      </x:c>
      <x:c r="B485" s="22" t="n">
        <x:f>SUMIFS('Cash'!$C$5:$C$97,'Cash'!$A$5:$A$97,"&lt;="&amp;A485)</x:f>
        <x:v>327420</x:v>
      </x:c>
      <x:c r="C485" s="22" t="n">
        <x:f>SUMIFS('Cash'!$C$5:$C$97,'Cash'!$A$5:$A$97,A485)</x:f>
        <x:v>0</x:v>
      </x:c>
      <x:c r="D485" s="22" t="n">
        <x:f>SUMIFS('Cash'!$C$5:$C$97,'Cash'!$A$5:$A$97,"&lt;="&amp;A485,'Cash'!$B$5:$B$97,"EXTERNAL_FUNDING")</x:f>
        <x:v>82848881</x:v>
      </x:c>
      <x:c r="E485" s="22" t="n">
        <x:f>SUMIFS('Cash'!$C$5:$C$97,'Cash'!$A$5:$A$97,"&lt;="&amp;A485,'Cash'!$B$5:$B$97,"DIVIDEND_NET")</x:f>
        <x:v>1434500</x:v>
      </x:c>
      <x:c r="F485" s="30" t="str">
        <x:v>n.a.</x:v>
      </x:c>
      <x:c r="G485" s="30" t="str">
        <x:v>n.a.</x:v>
      </x:c>
      <x:c r="H485" s="30" t="str">
        <x:v>n.a.</x:v>
      </x:c>
      <x:c r="I485" s="30" t="str">
        <x:f>IF(COUNT(B485,F485:H485)=4,B485+F485+G485-H485,"n.a.")</x:f>
        <x:v>n.a.</x:v>
      </x:c>
      <x:c r="J485" s="30" t="str">
        <x:v>n.a.</x:v>
      </x:c>
      <x:c r="K485" s="17"/>
      <x:c r="L485" s="17"/>
      <x:c r="M485" s="17"/>
      <x:c r="N485" s="17"/>
    </x:row>
    <x:row r="486" ht="21" customHeight="1">
      <x:c r="A486" s="27" t="d">
        <x:v>2026-10-24T00:00:00.000Z</x:v>
      </x:c>
      <x:c r="B486" s="22" t="n">
        <x:f>SUMIFS('Cash'!$C$5:$C$97,'Cash'!$A$5:$A$97,"&lt;="&amp;A486)</x:f>
        <x:v>327420</x:v>
      </x:c>
      <x:c r="C486" s="22" t="n">
        <x:f>SUMIFS('Cash'!$C$5:$C$97,'Cash'!$A$5:$A$97,A486)</x:f>
        <x:v>0</x:v>
      </x:c>
      <x:c r="D486" s="22" t="n">
        <x:f>SUMIFS('Cash'!$C$5:$C$97,'Cash'!$A$5:$A$97,"&lt;="&amp;A486,'Cash'!$B$5:$B$97,"EXTERNAL_FUNDING")</x:f>
        <x:v>82848881</x:v>
      </x:c>
      <x:c r="E486" s="22" t="n">
        <x:f>SUMIFS('Cash'!$C$5:$C$97,'Cash'!$A$5:$A$97,"&lt;="&amp;A486,'Cash'!$B$5:$B$97,"DIVIDEND_NET")</x:f>
        <x:v>1434500</x:v>
      </x:c>
      <x:c r="F486" s="30" t="str">
        <x:v>n.a.</x:v>
      </x:c>
      <x:c r="G486" s="30" t="str">
        <x:v>n.a.</x:v>
      </x:c>
      <x:c r="H486" s="30" t="str">
        <x:v>n.a.</x:v>
      </x:c>
      <x:c r="I486" s="30" t="str">
        <x:f>IF(COUNT(B486,F486:H486)=4,B486+F486+G486-H486,"n.a.")</x:f>
        <x:v>n.a.</x:v>
      </x:c>
      <x:c r="J486" s="30" t="str">
        <x:v>n.a.</x:v>
      </x:c>
      <x:c r="K486" s="17"/>
      <x:c r="L486" s="17"/>
      <x:c r="M486" s="17"/>
      <x:c r="N486" s="17"/>
    </x:row>
    <x:row r="487" ht="21" customHeight="1">
      <x:c r="A487" s="27" t="d">
        <x:v>2026-10-25T00:00:00.000Z</x:v>
      </x:c>
      <x:c r="B487" s="22" t="n">
        <x:f>SUMIFS('Cash'!$C$5:$C$97,'Cash'!$A$5:$A$97,"&lt;="&amp;A487)</x:f>
        <x:v>327420</x:v>
      </x:c>
      <x:c r="C487" s="22" t="n">
        <x:f>SUMIFS('Cash'!$C$5:$C$97,'Cash'!$A$5:$A$97,A487)</x:f>
        <x:v>0</x:v>
      </x:c>
      <x:c r="D487" s="22" t="n">
        <x:f>SUMIFS('Cash'!$C$5:$C$97,'Cash'!$A$5:$A$97,"&lt;="&amp;A487,'Cash'!$B$5:$B$97,"EXTERNAL_FUNDING")</x:f>
        <x:v>82848881</x:v>
      </x:c>
      <x:c r="E487" s="22" t="n">
        <x:f>SUMIFS('Cash'!$C$5:$C$97,'Cash'!$A$5:$A$97,"&lt;="&amp;A487,'Cash'!$B$5:$B$97,"DIVIDEND_NET")</x:f>
        <x:v>1434500</x:v>
      </x:c>
      <x:c r="F487" s="30" t="str">
        <x:v>n.a.</x:v>
      </x:c>
      <x:c r="G487" s="30" t="str">
        <x:v>n.a.</x:v>
      </x:c>
      <x:c r="H487" s="30" t="str">
        <x:v>n.a.</x:v>
      </x:c>
      <x:c r="I487" s="30" t="str">
        <x:f>IF(COUNT(B487,F487:H487)=4,B487+F487+G487-H487,"n.a.")</x:f>
        <x:v>n.a.</x:v>
      </x:c>
      <x:c r="J487" s="30" t="str">
        <x:v>n.a.</x:v>
      </x:c>
      <x:c r="K487" s="17"/>
      <x:c r="L487" s="17"/>
      <x:c r="M487" s="17"/>
      <x:c r="N487" s="17"/>
    </x:row>
    <x:row r="488" ht="21" customHeight="1">
      <x:c r="A488" s="27" t="d">
        <x:v>2026-10-26T00:00:00.000Z</x:v>
      </x:c>
      <x:c r="B488" s="22" t="n">
        <x:f>SUMIFS('Cash'!$C$5:$C$97,'Cash'!$A$5:$A$97,"&lt;="&amp;A488)</x:f>
        <x:v>327420</x:v>
      </x:c>
      <x:c r="C488" s="22" t="n">
        <x:f>SUMIFS('Cash'!$C$5:$C$97,'Cash'!$A$5:$A$97,A488)</x:f>
        <x:v>0</x:v>
      </x:c>
      <x:c r="D488" s="22" t="n">
        <x:f>SUMIFS('Cash'!$C$5:$C$97,'Cash'!$A$5:$A$97,"&lt;="&amp;A488,'Cash'!$B$5:$B$97,"EXTERNAL_FUNDING")</x:f>
        <x:v>82848881</x:v>
      </x:c>
      <x:c r="E488" s="22" t="n">
        <x:f>SUMIFS('Cash'!$C$5:$C$97,'Cash'!$A$5:$A$97,"&lt;="&amp;A488,'Cash'!$B$5:$B$97,"DIVIDEND_NET")</x:f>
        <x:v>1434500</x:v>
      </x:c>
      <x:c r="F488" s="30" t="str">
        <x:v>n.a.</x:v>
      </x:c>
      <x:c r="G488" s="30" t="str">
        <x:v>n.a.</x:v>
      </x:c>
      <x:c r="H488" s="30" t="str">
        <x:v>n.a.</x:v>
      </x:c>
      <x:c r="I488" s="30" t="str">
        <x:f>IF(COUNT(B488,F488:H488)=4,B488+F488+G488-H488,"n.a.")</x:f>
        <x:v>n.a.</x:v>
      </x:c>
      <x:c r="J488" s="30" t="str">
        <x:v>n.a.</x:v>
      </x:c>
      <x:c r="K488" s="17"/>
      <x:c r="L488" s="17"/>
      <x:c r="M488" s="17"/>
      <x:c r="N488" s="17"/>
    </x:row>
    <x:row r="489" ht="21" customHeight="1">
      <x:c r="A489" s="28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</x:row>
    <x:row r="490" ht="21" customHeight="1">
      <x:c r="A490" s="28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</x:row>
    <x:row r="491" ht="21" customHeight="1">
      <x:c r="A491" s="28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</x:row>
    <x:row r="492" ht="21" customHeight="1">
      <x:c r="A492" s="28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</x:row>
    <x:row r="493" ht="21" customHeight="1">
      <x:c r="A493" s="28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</x:row>
    <x:row r="494" ht="21" customHeight="1">
      <x:c r="A494" s="28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</x:row>
    <x:row r="495" ht="21" customHeight="1">
      <x:c r="A495" s="28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</x:row>
    <x:row r="496" ht="21" customHeight="1">
      <x:c r="A496" s="28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</x:row>
    <x:row r="497" ht="21" customHeight="1">
      <x:c r="A497" s="28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</x:row>
    <x:row r="498" ht="21" customHeight="1">
      <x:c r="A498" s="28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</x:row>
    <x:row r="499" ht="21" customHeight="1">
      <x:c r="A499" s="28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</x:row>
    <x:row r="500" ht="21" customHeight="1">
      <x:c r="A500" s="28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</x:row>
    <x:row r="501" ht="21" customHeight="1">
      <x:c r="A501" s="28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</x:row>
    <x:row r="502" ht="21" customHeight="1">
      <x:c r="A502" s="28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</x:row>
    <x:row r="503" ht="21" customHeight="1">
      <x:c r="A503" s="28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</x:row>
    <x:row r="504" ht="21" customHeight="1">
      <x:c r="A504" s="28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</x:row>
    <x:row r="505" ht="21" customHeight="1">
      <x:c r="A505" s="28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</x:row>
    <x:row r="506" ht="21" customHeight="1">
      <x:c r="A506" s="28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</x:row>
    <x:row r="507" ht="21" customHeight="1">
      <x:c r="A507" s="28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</x:row>
    <x:row r="508" ht="21" customHeight="1">
      <x:c r="A508" s="28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</x:row>
    <x:row r="509" ht="21" customHeight="1">
      <x:c r="A509" s="28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</x:row>
    <x:row r="510" ht="21" customHeight="1">
      <x:c r="A510" s="28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</x:row>
    <x:row r="511" ht="21" customHeight="1">
      <x:c r="A511" s="28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</x:row>
    <x:row r="512" ht="21" customHeight="1">
      <x:c r="A512" s="28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</x:row>
    <x:row r="513" ht="21" customHeight="1">
      <x:c r="A513" s="28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</x:row>
    <x:row r="514" ht="21" customHeight="1">
      <x:c r="A514" s="28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</x:row>
    <x:row r="515" ht="21" customHeight="1">
      <x:c r="A515" s="28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</x:row>
    <x:row r="516" ht="21" customHeight="1">
      <x:c r="A516" s="28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</x:row>
    <x:row r="517" ht="21" customHeight="1">
      <x:c r="A517" s="28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</x:row>
    <x:row r="518" ht="21" customHeight="1">
      <x:c r="A518" s="28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</x:row>
    <x:row r="519" ht="21" customHeight="1">
      <x:c r="A519" s="28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</x:row>
    <x:row r="520" ht="21" customHeight="1">
      <x:c r="A520" s="28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7" hidden="0" customWidth="1"/>
    <x:col min="7" max="7" width="14" hidden="0" customWidth="1"/>
    <x:col min="8" max="8" width="9" hidden="0" customWidth="1"/>
    <x:col min="9" max="9" width="18" hidden="0" customWidth="1"/>
    <x:col min="10" max="10" width="9" hidden="0" customWidth="1"/>
    <x:col min="11" max="11" width="67" hidden="0" customWidth="1"/>
  </x:cols>
  <x:sheetData>
    <x:row r="1" ht="21" customHeight="1">
      <x:c r="A1" s="17"/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26" customHeight="1">
      <x:c r="A2" s="18" t="str">
        <x:v>Sao kê tiền — VND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21" customHeight="1">
      <x:c r="A3" s="26" t="str">
        <x:v>Số dư trước dòng đầu = 0, suy từ số dư nguồn trừ phát sinh; toàn bộ 93 bước đã đối chiếu.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 ht="30" customHeight="1">
      <x:c r="A4" s="7" t="str">
        <x:v>Ngày</x:v>
      </x:c>
      <x:c r="B4" s="7" t="str">
        <x:v>Phân loại</x:v>
      </x:c>
      <x:c r="C4" s="7" t="str">
        <x:v>Phát sinh</x:v>
      </x:c>
      <x:c r="D4" s="7" t="str">
        <x:v>Số dư nguồn</x:v>
      </x:c>
      <x:c r="E4" s="7" t="str">
        <x:v>Tính lại số dư</x:v>
      </x:c>
      <x:c r="F4" s="7" t="str">
        <x:v>Chênh lệch</x:v>
      </x:c>
      <x:c r="G4" s="7" t="str">
        <x:v>Nguồn</x:v>
      </x:c>
      <x:c r="H4" s="7" t="str">
        <x:v>Dòng</x:v>
      </x:c>
      <x:c r="I4" s="7" t="str">
        <x:v>Ngày GD liên quan</x:v>
      </x:c>
      <x:c r="J4" s="7" t="str">
        <x:v>Mã</x:v>
      </x:c>
      <x:c r="K4" s="7" t="str">
        <x:v>SHA-256 nguồn</x:v>
      </x:c>
      <x:c r="L4" s="17"/>
      <x:c r="M4" s="17"/>
      <x:c r="N4" s="17"/>
    </x:row>
    <x:row r="5" ht="21" customHeight="1">
      <x:c r="A5" s="27" t="d">
        <x:v>2025-06-30T00:00:00.000Z</x:v>
      </x:c>
      <x:c r="B5" s="17" t="str">
        <x:v>EXTERNAL_FUNDING</x:v>
      </x:c>
      <x:c r="C5" s="22" t="n">
        <x:v>10000000</x:v>
      </x:c>
      <x:c r="D5" s="22" t="n">
        <x:v>10000000</x:v>
      </x:c>
      <x:c r="E5" s="22" t="n">
        <x:f>SUM($C$5:C5)</x:f>
        <x:v>10000000</x:v>
      </x:c>
      <x:c r="F5" s="29" t="n">
        <x:f>E5-D5</x:f>
        <x:v>0</x:v>
      </x:c>
      <x:c r="G5" s="17" t="str">
        <x:v>CASH_A</x:v>
      </x:c>
      <x:c r="H5" s="17" t="n">
        <x:v>14</x:v>
      </x:c>
      <x:c r="I5" s="25"/>
      <x:c r="J5" s="17"/>
      <x:c r="K5" s="17" t="str">
        <x:v>862a086db0d8b43217cf04659ae076f7a95028336fa17aa67a2b7e4bc50704f1</x:v>
      </x:c>
      <x:c r="L5" s="17"/>
      <x:c r="M5" s="17"/>
      <x:c r="N5" s="17"/>
    </x:row>
    <x:row r="6" ht="21" customHeight="1">
      <x:c r="A6" s="27" t="d">
        <x:v>2025-07-01T00:00:00.000Z</x:v>
      </x:c>
      <x:c r="B6" s="17" t="str">
        <x:v>BUY_PAYMENT</x:v>
      </x:c>
      <x:c r="C6" s="22" t="n">
        <x:v>-5850000</x:v>
      </x:c>
      <x:c r="D6" s="22" t="n">
        <x:v>4150000</x:v>
      </x:c>
      <x:c r="E6" s="22" t="n">
        <x:f>SUM($C$5:C6)</x:f>
        <x:v>4150000</x:v>
      </x:c>
      <x:c r="F6" s="29" t="n">
        <x:f>E6-D6</x:f>
        <x:v>0</x:v>
      </x:c>
      <x:c r="G6" s="17" t="str">
        <x:v>CASH_A</x:v>
      </x:c>
      <x:c r="H6" s="17" t="n">
        <x:v>15</x:v>
      </x:c>
      <x:c r="I6" s="25" t="d">
        <x:v>2025-07-01T00:00:00.000Z</x:v>
      </x:c>
      <x:c r="J6" s="17"/>
      <x:c r="K6" s="17" t="str">
        <x:v>862a086db0d8b43217cf04659ae076f7a95028336fa17aa67a2b7e4bc50704f1</x:v>
      </x:c>
      <x:c r="L6" s="17"/>
      <x:c r="M6" s="17"/>
      <x:c r="N6" s="17"/>
    </x:row>
    <x:row r="7" ht="21" customHeight="1">
      <x:c r="A7" s="27" t="d">
        <x:v>2025-07-01T00:00:00.000Z</x:v>
      </x:c>
      <x:c r="B7" s="17" t="str">
        <x:v>BUY_FEE</x:v>
      </x:c>
      <x:c r="C7" s="22" t="n">
        <x:v>-1755</x:v>
      </x:c>
      <x:c r="D7" s="22" t="n">
        <x:v>4148245</x:v>
      </x:c>
      <x:c r="E7" s="22" t="n">
        <x:f>SUM($C$5:C7)</x:f>
        <x:v>4148245</x:v>
      </x:c>
      <x:c r="F7" s="29" t="n">
        <x:f>E7-D7</x:f>
        <x:v>0</x:v>
      </x:c>
      <x:c r="G7" s="17" t="str">
        <x:v>CASH_A</x:v>
      </x:c>
      <x:c r="H7" s="17" t="n">
        <x:v>16</x:v>
      </x:c>
      <x:c r="I7" s="25" t="d">
        <x:v>2025-07-01T00:00:00.000Z</x:v>
      </x:c>
      <x:c r="J7" s="17"/>
      <x:c r="K7" s="17" t="str">
        <x:v>862a086db0d8b43217cf04659ae076f7a95028336fa17aa67a2b7e4bc50704f1</x:v>
      </x:c>
      <x:c r="L7" s="17"/>
      <x:c r="M7" s="17"/>
      <x:c r="N7" s="17"/>
    </x:row>
    <x:row r="8" ht="21" customHeight="1">
      <x:c r="A8" s="27" t="d">
        <x:v>2025-07-02T00:00:00.000Z</x:v>
      </x:c>
      <x:c r="B8" s="17" t="str">
        <x:v>BUY_PAYMENT</x:v>
      </x:c>
      <x:c r="C8" s="22" t="n">
        <x:v>-2510000</x:v>
      </x:c>
      <x:c r="D8" s="22" t="n">
        <x:v>1638245</x:v>
      </x:c>
      <x:c r="E8" s="22" t="n">
        <x:f>SUM($C$5:C8)</x:f>
        <x:v>1638245</x:v>
      </x:c>
      <x:c r="F8" s="29" t="n">
        <x:f>E8-D8</x:f>
        <x:v>0</x:v>
      </x:c>
      <x:c r="G8" s="17" t="str">
        <x:v>CASH_A</x:v>
      </x:c>
      <x:c r="H8" s="17" t="n">
        <x:v>17</x:v>
      </x:c>
      <x:c r="I8" s="25" t="d">
        <x:v>2025-07-02T00:00:00.000Z</x:v>
      </x:c>
      <x:c r="J8" s="17"/>
      <x:c r="K8" s="17" t="str">
        <x:v>862a086db0d8b43217cf04659ae076f7a95028336fa17aa67a2b7e4bc50704f1</x:v>
      </x:c>
      <x:c r="L8" s="17"/>
      <x:c r="M8" s="17"/>
      <x:c r="N8" s="17"/>
    </x:row>
    <x:row r="9" ht="21" customHeight="1">
      <x:c r="A9" s="27" t="d">
        <x:v>2025-07-02T00:00:00.000Z</x:v>
      </x:c>
      <x:c r="B9" s="17" t="str">
        <x:v>BUY_FEE</x:v>
      </x:c>
      <x:c r="C9" s="22" t="n">
        <x:v>-753</x:v>
      </x:c>
      <x:c r="D9" s="22" t="n">
        <x:v>1637492</x:v>
      </x:c>
      <x:c r="E9" s="22" t="n">
        <x:f>SUM($C$5:C9)</x:f>
        <x:v>1637492</x:v>
      </x:c>
      <x:c r="F9" s="29" t="n">
        <x:f>E9-D9</x:f>
        <x:v>0</x:v>
      </x:c>
      <x:c r="G9" s="17" t="str">
        <x:v>CASH_A</x:v>
      </x:c>
      <x:c r="H9" s="17" t="n">
        <x:v>18</x:v>
      </x:c>
      <x:c r="I9" s="25" t="d">
        <x:v>2025-07-02T00:00:00.000Z</x:v>
      </x:c>
      <x:c r="J9" s="17"/>
      <x:c r="K9" s="17" t="str">
        <x:v>862a086db0d8b43217cf04659ae076f7a95028336fa17aa67a2b7e4bc50704f1</x:v>
      </x:c>
      <x:c r="L9" s="17"/>
      <x:c r="M9" s="17"/>
      <x:c r="N9" s="17"/>
    </x:row>
    <x:row r="10" ht="21" customHeight="1">
      <x:c r="A10" s="27" t="d">
        <x:v>2025-07-09T00:00:00.000Z</x:v>
      </x:c>
      <x:c r="B10" s="17" t="str">
        <x:v>BUY_PAYMENT</x:v>
      </x:c>
      <x:c r="C10" s="22" t="n">
        <x:v>-1490000</x:v>
      </x:c>
      <x:c r="D10" s="22" t="n">
        <x:v>147492</x:v>
      </x:c>
      <x:c r="E10" s="22" t="n">
        <x:f>SUM($C$5:C10)</x:f>
        <x:v>147492</x:v>
      </x:c>
      <x:c r="F10" s="29" t="n">
        <x:f>E10-D10</x:f>
        <x:v>0</x:v>
      </x:c>
      <x:c r="G10" s="17" t="str">
        <x:v>CASH_A</x:v>
      </x:c>
      <x:c r="H10" s="17" t="n">
        <x:v>19</x:v>
      </x:c>
      <x:c r="I10" s="25" t="d">
        <x:v>2025-07-09T00:00:00.000Z</x:v>
      </x:c>
      <x:c r="J10" s="17"/>
      <x:c r="K10" s="17" t="str">
        <x:v>862a086db0d8b43217cf04659ae076f7a95028336fa17aa67a2b7e4bc50704f1</x:v>
      </x:c>
      <x:c r="L10" s="17"/>
      <x:c r="M10" s="17"/>
      <x:c r="N10" s="17"/>
    </x:row>
    <x:row r="11" ht="21" customHeight="1">
      <x:c r="A11" s="27" t="d">
        <x:v>2025-07-09T00:00:00.000Z</x:v>
      </x:c>
      <x:c r="B11" s="17" t="str">
        <x:v>BUY_FEE</x:v>
      </x:c>
      <x:c r="C11" s="22" t="n">
        <x:v>-447</x:v>
      </x:c>
      <x:c r="D11" s="22" t="n">
        <x:v>147045</x:v>
      </x:c>
      <x:c r="E11" s="22" t="n">
        <x:f>SUM($C$5:C11)</x:f>
        <x:v>147045</x:v>
      </x:c>
      <x:c r="F11" s="29" t="n">
        <x:f>E11-D11</x:f>
        <x:v>0</x:v>
      </x:c>
      <x:c r="G11" s="17" t="str">
        <x:v>CASH_A</x:v>
      </x:c>
      <x:c r="H11" s="17" t="n">
        <x:v>20</x:v>
      </x:c>
      <x:c r="I11" s="25" t="d">
        <x:v>2025-07-09T00:00:00.000Z</x:v>
      </x:c>
      <x:c r="J11" s="17"/>
      <x:c r="K11" s="17" t="str">
        <x:v>862a086db0d8b43217cf04659ae076f7a95028336fa17aa67a2b7e4bc50704f1</x:v>
      </x:c>
      <x:c r="L11" s="17"/>
      <x:c r="M11" s="17"/>
      <x:c r="N11" s="17"/>
    </x:row>
    <x:row r="12" ht="21" customHeight="1">
      <x:c r="A12" s="27" t="d">
        <x:v>2025-07-31T00:00:00.000Z</x:v>
      </x:c>
      <x:c r="B12" s="17" t="str">
        <x:v>INTEREST</x:v>
      </x:c>
      <x:c r="C12" s="22" t="n">
        <x:v>401</x:v>
      </x:c>
      <x:c r="D12" s="22" t="n">
        <x:v>147446</x:v>
      </x:c>
      <x:c r="E12" s="22" t="n">
        <x:f>SUM($C$5:C12)</x:f>
        <x:v>147446</x:v>
      </x:c>
      <x:c r="F12" s="29" t="n">
        <x:f>E12-D12</x:f>
        <x:v>0</x:v>
      </x:c>
      <x:c r="G12" s="17" t="str">
        <x:v>CASH_A</x:v>
      </x:c>
      <x:c r="H12" s="17" t="n">
        <x:v>21</x:v>
      </x:c>
      <x:c r="I12" s="25"/>
      <x:c r="J12" s="17"/>
      <x:c r="K12" s="17" t="str">
        <x:v>862a086db0d8b43217cf04659ae076f7a95028336fa17aa67a2b7e4bc50704f1</x:v>
      </x:c>
      <x:c r="L12" s="17"/>
      <x:c r="M12" s="17"/>
      <x:c r="N12" s="17"/>
    </x:row>
    <x:row r="13" ht="21" customHeight="1">
      <x:c r="A13" s="27" t="d">
        <x:v>2025-07-31T00:00:00.000Z</x:v>
      </x:c>
      <x:c r="B13" s="17" t="str">
        <x:v>CUSTODY</x:v>
      </x:c>
      <x:c r="C13" s="22" t="n">
        <x:v>-78</x:v>
      </x:c>
      <x:c r="D13" s="22" t="n">
        <x:v>147368</x:v>
      </x:c>
      <x:c r="E13" s="22" t="n">
        <x:f>SUM($C$5:C13)</x:f>
        <x:v>147368</x:v>
      </x:c>
      <x:c r="F13" s="29" t="n">
        <x:f>E13-D13</x:f>
        <x:v>0</x:v>
      </x:c>
      <x:c r="G13" s="17" t="str">
        <x:v>CASH_A</x:v>
      </x:c>
      <x:c r="H13" s="17" t="n">
        <x:v>22</x:v>
      </x:c>
      <x:c r="I13" s="25"/>
      <x:c r="J13" s="17"/>
      <x:c r="K13" s="17" t="str">
        <x:v>862a086db0d8b43217cf04659ae076f7a95028336fa17aa67a2b7e4bc50704f1</x:v>
      </x:c>
      <x:c r="L13" s="17"/>
      <x:c r="M13" s="17"/>
      <x:c r="N13" s="17"/>
    </x:row>
    <x:row r="14" ht="21" customHeight="1">
      <x:c r="A14" s="27" t="d">
        <x:v>2025-08-14T00:00:00.000Z</x:v>
      </x:c>
      <x:c r="B14" s="17" t="str">
        <x:v>EXTERNAL_FUNDING</x:v>
      </x:c>
      <x:c r="C14" s="22" t="n">
        <x:v>9235485</x:v>
      </x:c>
      <x:c r="D14" s="22" t="n">
        <x:v>9382853</x:v>
      </x:c>
      <x:c r="E14" s="22" t="n">
        <x:f>SUM($C$5:C14)</x:f>
        <x:v>9382853</x:v>
      </x:c>
      <x:c r="F14" s="29" t="n">
        <x:f>E14-D14</x:f>
        <x:v>0</x:v>
      </x:c>
      <x:c r="G14" s="17" t="str">
        <x:v>CASH_A</x:v>
      </x:c>
      <x:c r="H14" s="17" t="n">
        <x:v>23</x:v>
      </x:c>
      <x:c r="I14" s="25"/>
      <x:c r="J14" s="17"/>
      <x:c r="K14" s="17" t="str">
        <x:v>862a086db0d8b43217cf04659ae076f7a95028336fa17aa67a2b7e4bc50704f1</x:v>
      </x:c>
      <x:c r="L14" s="17"/>
      <x:c r="M14" s="17"/>
      <x:c r="N14" s="17"/>
    </x:row>
    <x:row r="15" ht="21" customHeight="1">
      <x:c r="A15" s="27" t="d">
        <x:v>2025-08-14T00:00:00.000Z</x:v>
      </x:c>
      <x:c r="B15" s="17" t="str">
        <x:v>BUY_PAYMENT</x:v>
      </x:c>
      <x:c r="C15" s="22" t="n">
        <x:v>-9380000</x:v>
      </x:c>
      <x:c r="D15" s="22" t="n">
        <x:v>2853</x:v>
      </x:c>
      <x:c r="E15" s="22" t="n">
        <x:f>SUM($C$5:C15)</x:f>
        <x:v>2853</x:v>
      </x:c>
      <x:c r="F15" s="29" t="n">
        <x:f>E15-D15</x:f>
        <x:v>0</x:v>
      </x:c>
      <x:c r="G15" s="17" t="str">
        <x:v>CASH_A</x:v>
      </x:c>
      <x:c r="H15" s="17" t="n">
        <x:v>24</x:v>
      </x:c>
      <x:c r="I15" s="25" t="d">
        <x:v>2025-08-14T00:00:00.000Z</x:v>
      </x:c>
      <x:c r="J15" s="17"/>
      <x:c r="K15" s="17" t="str">
        <x:v>862a086db0d8b43217cf04659ae076f7a95028336fa17aa67a2b7e4bc50704f1</x:v>
      </x:c>
      <x:c r="L15" s="17"/>
      <x:c r="M15" s="17"/>
      <x:c r="N15" s="17"/>
    </x:row>
    <x:row r="16" ht="21" customHeight="1">
      <x:c r="A16" s="27" t="d">
        <x:v>2025-08-14T00:00:00.000Z</x:v>
      </x:c>
      <x:c r="B16" s="17" t="str">
        <x:v>BUY_FEE</x:v>
      </x:c>
      <x:c r="C16" s="22" t="n">
        <x:v>-2814</x:v>
      </x:c>
      <x:c r="D16" s="22" t="n">
        <x:v>39</x:v>
      </x:c>
      <x:c r="E16" s="22" t="n">
        <x:f>SUM($C$5:C16)</x:f>
        <x:v>39</x:v>
      </x:c>
      <x:c r="F16" s="29" t="n">
        <x:f>E16-D16</x:f>
        <x:v>0</x:v>
      </x:c>
      <x:c r="G16" s="17" t="str">
        <x:v>CASH_A</x:v>
      </x:c>
      <x:c r="H16" s="17" t="n">
        <x:v>25</x:v>
      </x:c>
      <x:c r="I16" s="25" t="d">
        <x:v>2025-08-14T00:00:00.000Z</x:v>
      </x:c>
      <x:c r="J16" s="17"/>
      <x:c r="K16" s="17" t="str">
        <x:v>862a086db0d8b43217cf04659ae076f7a95028336fa17aa67a2b7e4bc50704f1</x:v>
      </x:c>
      <x:c r="L16" s="17"/>
      <x:c r="M16" s="17"/>
      <x:c r="N16" s="17"/>
    </x:row>
    <x:row r="17" ht="21" customHeight="1">
      <x:c r="A17" s="27" t="d">
        <x:v>2025-08-29T00:00:00.000Z</x:v>
      </x:c>
      <x:c r="B17" s="17" t="str">
        <x:v>INTEREST</x:v>
      </x:c>
      <x:c r="C17" s="22" t="n">
        <x:v>28</x:v>
      </x:c>
      <x:c r="D17" s="22" t="n">
        <x:v>67</x:v>
      </x:c>
      <x:c r="E17" s="22" t="n">
        <x:f>SUM($C$5:C17)</x:f>
        <x:v>67</x:v>
      </x:c>
      <x:c r="F17" s="29" t="n">
        <x:f>E17-D17</x:f>
        <x:v>0</x:v>
      </x:c>
      <x:c r="G17" s="17" t="str">
        <x:v>CASH_A</x:v>
      </x:c>
      <x:c r="H17" s="17" t="n">
        <x:v>26</x:v>
      </x:c>
      <x:c r="I17" s="25"/>
      <x:c r="J17" s="17"/>
      <x:c r="K17" s="17" t="str">
        <x:v>862a086db0d8b43217cf04659ae076f7a95028336fa17aa67a2b7e4bc50704f1</x:v>
      </x:c>
      <x:c r="L17" s="17"/>
      <x:c r="M17" s="17"/>
      <x:c r="N17" s="17"/>
    </x:row>
    <x:row r="18" ht="21" customHeight="1">
      <x:c r="A18" s="27" t="d">
        <x:v>2025-08-29T00:00:00.000Z</x:v>
      </x:c>
      <x:c r="B18" s="17" t="str">
        <x:v>CUSTODY</x:v>
      </x:c>
      <x:c r="C18" s="22" t="n">
        <x:v>-67</x:v>
      </x:c>
      <x:c r="D18" s="22" t="n">
        <x:v>0</x:v>
      </x:c>
      <x:c r="E18" s="22" t="n">
        <x:f>SUM($C$5:C18)</x:f>
        <x:v>0</x:v>
      </x:c>
      <x:c r="F18" s="29" t="n">
        <x:f>E18-D18</x:f>
        <x:v>0</x:v>
      </x:c>
      <x:c r="G18" s="17" t="str">
        <x:v>CASH_A</x:v>
      </x:c>
      <x:c r="H18" s="17" t="n">
        <x:v>27</x:v>
      </x:c>
      <x:c r="I18" s="25"/>
      <x:c r="J18" s="17"/>
      <x:c r="K18" s="17" t="str">
        <x:v>862a086db0d8b43217cf04659ae076f7a95028336fa17aa67a2b7e4bc50704f1</x:v>
      </x:c>
      <x:c r="L18" s="17"/>
      <x:c r="M18" s="17"/>
      <x:c r="N18" s="17"/>
    </x:row>
    <x:row r="19" ht="21" customHeight="1">
      <x:c r="A19" s="27" t="d">
        <x:v>2025-10-08T00:00:00.000Z</x:v>
      </x:c>
      <x:c r="B19" s="17" t="str">
        <x:v>EXTERNAL_FUNDING</x:v>
      </x:c>
      <x:c r="C19" s="22" t="n">
        <x:v>9593065</x:v>
      </x:c>
      <x:c r="D19" s="22" t="n">
        <x:v>9593065</x:v>
      </x:c>
      <x:c r="E19" s="22" t="n">
        <x:f>SUM($C$5:C19)</x:f>
        <x:v>9593065</x:v>
      </x:c>
      <x:c r="F19" s="29" t="n">
        <x:f>E19-D19</x:f>
        <x:v>0</x:v>
      </x:c>
      <x:c r="G19" s="17" t="str">
        <x:v>CASH_A</x:v>
      </x:c>
      <x:c r="H19" s="17" t="n">
        <x:v>28</x:v>
      </x:c>
      <x:c r="I19" s="25"/>
      <x:c r="J19" s="17"/>
      <x:c r="K19" s="17" t="str">
        <x:v>862a086db0d8b43217cf04659ae076f7a95028336fa17aa67a2b7e4bc50704f1</x:v>
      </x:c>
      <x:c r="L19" s="17"/>
      <x:c r="M19" s="17"/>
      <x:c r="N19" s="17"/>
    </x:row>
    <x:row r="20" ht="21" customHeight="1">
      <x:c r="A20" s="27" t="d">
        <x:v>2025-10-08T00:00:00.000Z</x:v>
      </x:c>
      <x:c r="B20" s="17" t="str">
        <x:v>CUSTODY</x:v>
      </x:c>
      <x:c r="C20" s="22" t="n">
        <x:v>-40</x:v>
      </x:c>
      <x:c r="D20" s="22" t="n">
        <x:v>9593025</x:v>
      </x:c>
      <x:c r="E20" s="22" t="n">
        <x:f>SUM($C$5:C20)</x:f>
        <x:v>9593025</x:v>
      </x:c>
      <x:c r="F20" s="29" t="n">
        <x:f>E20-D20</x:f>
        <x:v>0</x:v>
      </x:c>
      <x:c r="G20" s="17" t="str">
        <x:v>CASH_A</x:v>
      </x:c>
      <x:c r="H20" s="17" t="n">
        <x:v>29</x:v>
      </x:c>
      <x:c r="I20" s="25"/>
      <x:c r="J20" s="17"/>
      <x:c r="K20" s="17" t="str">
        <x:v>862a086db0d8b43217cf04659ae076f7a95028336fa17aa67a2b7e4bc50704f1</x:v>
      </x:c>
      <x:c r="L20" s="17"/>
      <x:c r="M20" s="17"/>
      <x:c r="N20" s="17"/>
    </x:row>
    <x:row r="21" ht="21" customHeight="1">
      <x:c r="A21" s="27" t="d">
        <x:v>2025-10-08T00:00:00.000Z</x:v>
      </x:c>
      <x:c r="B21" s="17" t="str">
        <x:v>CUSTODY</x:v>
      </x:c>
      <x:c r="C21" s="22" t="n">
        <x:v>-120</x:v>
      </x:c>
      <x:c r="D21" s="22" t="n">
        <x:v>9592905</x:v>
      </x:c>
      <x:c r="E21" s="22" t="n">
        <x:f>SUM($C$5:C21)</x:f>
        <x:v>9592905</x:v>
      </x:c>
      <x:c r="F21" s="29" t="n">
        <x:f>E21-D21</x:f>
        <x:v>0</x:v>
      </x:c>
      <x:c r="G21" s="17" t="str">
        <x:v>CASH_A</x:v>
      </x:c>
      <x:c r="H21" s="17" t="n">
        <x:v>30</x:v>
      </x:c>
      <x:c r="I21" s="25"/>
      <x:c r="J21" s="17"/>
      <x:c r="K21" s="17" t="str">
        <x:v>862a086db0d8b43217cf04659ae076f7a95028336fa17aa67a2b7e4bc50704f1</x:v>
      </x:c>
      <x:c r="L21" s="17"/>
      <x:c r="M21" s="17"/>
      <x:c r="N21" s="17"/>
    </x:row>
    <x:row r="22" ht="21" customHeight="1">
      <x:c r="A22" s="27" t="d">
        <x:v>2025-10-08T00:00:00.000Z</x:v>
      </x:c>
      <x:c r="B22" s="17" t="str">
        <x:v>BUY_PAYMENT</x:v>
      </x:c>
      <x:c r="C22" s="22" t="n">
        <x:v>-9590000</x:v>
      </x:c>
      <x:c r="D22" s="22" t="n">
        <x:v>2905</x:v>
      </x:c>
      <x:c r="E22" s="22" t="n">
        <x:f>SUM($C$5:C22)</x:f>
        <x:v>2905</x:v>
      </x:c>
      <x:c r="F22" s="29" t="n">
        <x:f>E22-D22</x:f>
        <x:v>0</x:v>
      </x:c>
      <x:c r="G22" s="17" t="str">
        <x:v>CASH_A</x:v>
      </x:c>
      <x:c r="H22" s="17" t="n">
        <x:v>31</x:v>
      </x:c>
      <x:c r="I22" s="25" t="d">
        <x:v>2025-10-08T00:00:00.000Z</x:v>
      </x:c>
      <x:c r="J22" s="17"/>
      <x:c r="K22" s="17" t="str">
        <x:v>862a086db0d8b43217cf04659ae076f7a95028336fa17aa67a2b7e4bc50704f1</x:v>
      </x:c>
      <x:c r="L22" s="17"/>
      <x:c r="M22" s="17"/>
      <x:c r="N22" s="17"/>
    </x:row>
    <x:row r="23" ht="21" customHeight="1">
      <x:c r="A23" s="27" t="d">
        <x:v>2025-10-08T00:00:00.000Z</x:v>
      </x:c>
      <x:c r="B23" s="17" t="str">
        <x:v>BUY_FEE</x:v>
      </x:c>
      <x:c r="C23" s="22" t="n">
        <x:v>-2877</x:v>
      </x:c>
      <x:c r="D23" s="22" t="n">
        <x:v>28</x:v>
      </x:c>
      <x:c r="E23" s="22" t="n">
        <x:f>SUM($C$5:C23)</x:f>
        <x:v>28</x:v>
      </x:c>
      <x:c r="F23" s="29" t="n">
        <x:f>E23-D23</x:f>
        <x:v>0</x:v>
      </x:c>
      <x:c r="G23" s="17" t="str">
        <x:v>CASH_A</x:v>
      </x:c>
      <x:c r="H23" s="17" t="n">
        <x:v>32</x:v>
      </x:c>
      <x:c r="I23" s="25" t="d">
        <x:v>2025-10-08T00:00:00.000Z</x:v>
      </x:c>
      <x:c r="J23" s="17"/>
      <x:c r="K23" s="17" t="str">
        <x:v>862a086db0d8b43217cf04659ae076f7a95028336fa17aa67a2b7e4bc50704f1</x:v>
      </x:c>
      <x:c r="L23" s="17"/>
      <x:c r="M23" s="17"/>
      <x:c r="N23" s="17"/>
    </x:row>
    <x:row r="24" ht="21" customHeight="1">
      <x:c r="A24" s="27" t="d">
        <x:v>2025-10-24T00:00:00.000Z</x:v>
      </x:c>
      <x:c r="B24" s="17" t="str">
        <x:v>DIVIDEND_NET</x:v>
      </x:c>
      <x:c r="C24" s="22" t="n">
        <x:v>42750</x:v>
      </x:c>
      <x:c r="D24" s="22" t="n">
        <x:v>42778</x:v>
      </x:c>
      <x:c r="E24" s="22" t="n">
        <x:f>SUM($C$5:C24)</x:f>
        <x:v>42778</x:v>
      </x:c>
      <x:c r="F24" s="29" t="n">
        <x:f>E24-D24</x:f>
        <x:v>0</x:v>
      </x:c>
      <x:c r="G24" s="17" t="str">
        <x:v>CASH_A</x:v>
      </x:c>
      <x:c r="H24" s="17" t="n">
        <x:v>33</x:v>
      </x:c>
      <x:c r="I24" s="25"/>
      <x:c r="J24" s="17" t="str">
        <x:v>VCB</x:v>
      </x:c>
      <x:c r="K24" s="17" t="str">
        <x:v>862a086db0d8b43217cf04659ae076f7a95028336fa17aa67a2b7e4bc50704f1</x:v>
      </x:c>
      <x:c r="L24" s="17"/>
      <x:c r="M24" s="17"/>
      <x:c r="N24" s="17"/>
    </x:row>
    <x:row r="25" ht="21" customHeight="1">
      <x:c r="A25" s="27" t="d">
        <x:v>2025-10-31T00:00:00.000Z</x:v>
      </x:c>
      <x:c r="B25" s="17" t="str">
        <x:v>INTEREST</x:v>
      </x:c>
      <x:c r="C25" s="22" t="n">
        <x:v>6</x:v>
      </x:c>
      <x:c r="D25" s="22" t="n">
        <x:v>42784</x:v>
      </x:c>
      <x:c r="E25" s="22" t="n">
        <x:f>SUM($C$5:C25)</x:f>
        <x:v>42784</x:v>
      </x:c>
      <x:c r="F25" s="29" t="n">
        <x:f>E25-D25</x:f>
        <x:v>0</x:v>
      </x:c>
      <x:c r="G25" s="17" t="str">
        <x:v>CASH_A</x:v>
      </x:c>
      <x:c r="H25" s="17" t="n">
        <x:v>34</x:v>
      </x:c>
      <x:c r="I25" s="25"/>
      <x:c r="J25" s="17"/>
      <x:c r="K25" s="17" t="str">
        <x:v>862a086db0d8b43217cf04659ae076f7a95028336fa17aa67a2b7e4bc50704f1</x:v>
      </x:c>
      <x:c r="L25" s="17"/>
      <x:c r="M25" s="17"/>
      <x:c r="N25" s="17"/>
    </x:row>
    <x:row r="26" ht="21" customHeight="1">
      <x:c r="A26" s="27" t="d">
        <x:v>2025-10-31T00:00:00.000Z</x:v>
      </x:c>
      <x:c r="B26" s="17" t="str">
        <x:v>CUSTODY</x:v>
      </x:c>
      <x:c r="C26" s="22" t="n">
        <x:v>-146</x:v>
      </x:c>
      <x:c r="D26" s="22" t="n">
        <x:v>42638</x:v>
      </x:c>
      <x:c r="E26" s="22" t="n">
        <x:f>SUM($C$5:C26)</x:f>
        <x:v>42638</x:v>
      </x:c>
      <x:c r="F26" s="29" t="n">
        <x:f>E26-D26</x:f>
        <x:v>0</x:v>
      </x:c>
      <x:c r="G26" s="17" t="str">
        <x:v>CASH_A</x:v>
      </x:c>
      <x:c r="H26" s="17" t="n">
        <x:v>35</x:v>
      </x:c>
      <x:c r="I26" s="25"/>
      <x:c r="J26" s="17"/>
      <x:c r="K26" s="17" t="str">
        <x:v>862a086db0d8b43217cf04659ae076f7a95028336fa17aa67a2b7e4bc50704f1</x:v>
      </x:c>
      <x:c r="L26" s="17"/>
      <x:c r="M26" s="17"/>
      <x:c r="N26" s="17"/>
    </x:row>
    <x:row r="27" ht="21" customHeight="1">
      <x:c r="A27" s="27" t="d">
        <x:v>2025-11-07T00:00:00.000Z</x:v>
      </x:c>
      <x:c r="B27" s="17" t="str">
        <x:v>EXTERNAL_FUNDING</x:v>
      </x:c>
      <x:c r="C27" s="22" t="n">
        <x:v>2593182</x:v>
      </x:c>
      <x:c r="D27" s="22" t="n">
        <x:v>2635820</x:v>
      </x:c>
      <x:c r="E27" s="22" t="n">
        <x:f>SUM($C$5:C27)</x:f>
        <x:v>2635820</x:v>
      </x:c>
      <x:c r="F27" s="29" t="n">
        <x:f>E27-D27</x:f>
        <x:v>0</x:v>
      </x:c>
      <x:c r="G27" s="17" t="str">
        <x:v>CASH_A</x:v>
      </x:c>
      <x:c r="H27" s="17" t="n">
        <x:v>36</x:v>
      </x:c>
      <x:c r="I27" s="25"/>
      <x:c r="J27" s="17"/>
      <x:c r="K27" s="17" t="str">
        <x:v>862a086db0d8b43217cf04659ae076f7a95028336fa17aa67a2b7e4bc50704f1</x:v>
      </x:c>
      <x:c r="L27" s="17"/>
      <x:c r="M27" s="17"/>
      <x:c r="N27" s="17"/>
    </x:row>
    <x:row r="28" ht="21" customHeight="1">
      <x:c r="A28" s="27" t="d">
        <x:v>2025-11-07T00:00:00.000Z</x:v>
      </x:c>
      <x:c r="B28" s="17" t="str">
        <x:v>BUY_PAYMENT</x:v>
      </x:c>
      <x:c r="C28" s="22" t="n">
        <x:v>-2635000</x:v>
      </x:c>
      <x:c r="D28" s="22" t="n">
        <x:v>820</x:v>
      </x:c>
      <x:c r="E28" s="22" t="n">
        <x:f>SUM($C$5:C28)</x:f>
        <x:v>820</x:v>
      </x:c>
      <x:c r="F28" s="29" t="n">
        <x:f>E28-D28</x:f>
        <x:v>0</x:v>
      </x:c>
      <x:c r="G28" s="17" t="str">
        <x:v>CASH_A</x:v>
      </x:c>
      <x:c r="H28" s="17" t="n">
        <x:v>37</x:v>
      </x:c>
      <x:c r="I28" s="25" t="d">
        <x:v>2025-11-07T00:00:00.000Z</x:v>
      </x:c>
      <x:c r="J28" s="17"/>
      <x:c r="K28" s="17" t="str">
        <x:v>862a086db0d8b43217cf04659ae076f7a95028336fa17aa67a2b7e4bc50704f1</x:v>
      </x:c>
      <x:c r="L28" s="17"/>
      <x:c r="M28" s="17"/>
      <x:c r="N28" s="17"/>
    </x:row>
    <x:row r="29" ht="21" customHeight="1">
      <x:c r="A29" s="27" t="d">
        <x:v>2025-11-07T00:00:00.000Z</x:v>
      </x:c>
      <x:c r="B29" s="17" t="str">
        <x:v>BUY_FEE</x:v>
      </x:c>
      <x:c r="C29" s="22" t="n">
        <x:v>-790</x:v>
      </x:c>
      <x:c r="D29" s="22" t="n">
        <x:v>30</x:v>
      </x:c>
      <x:c r="E29" s="22" t="n">
        <x:f>SUM($C$5:C29)</x:f>
        <x:v>30</x:v>
      </x:c>
      <x:c r="F29" s="29" t="n">
        <x:f>E29-D29</x:f>
        <x:v>0</x:v>
      </x:c>
      <x:c r="G29" s="17" t="str">
        <x:v>CASH_A</x:v>
      </x:c>
      <x:c r="H29" s="17" t="n">
        <x:v>38</x:v>
      </x:c>
      <x:c r="I29" s="25" t="d">
        <x:v>2025-11-07T00:00:00.000Z</x:v>
      </x:c>
      <x:c r="J29" s="17"/>
      <x:c r="K29" s="17" t="str">
        <x:v>862a086db0d8b43217cf04659ae076f7a95028336fa17aa67a2b7e4bc50704f1</x:v>
      </x:c>
      <x:c r="L29" s="17"/>
      <x:c r="M29" s="17"/>
      <x:c r="N29" s="17"/>
    </x:row>
    <x:row r="30" ht="21" customHeight="1">
      <x:c r="A30" s="27" t="d">
        <x:v>2025-11-12T00:00:00.000Z</x:v>
      </x:c>
      <x:c r="B30" s="17" t="str">
        <x:v>EXTERNAL_FUNDING</x:v>
      </x:c>
      <x:c r="C30" s="22" t="n">
        <x:v>26</x:v>
      </x:c>
      <x:c r="D30" s="22" t="n">
        <x:v>56</x:v>
      </x:c>
      <x:c r="E30" s="22" t="n">
        <x:f>SUM($C$5:C30)</x:f>
        <x:v>56</x:v>
      </x:c>
      <x:c r="F30" s="29" t="n">
        <x:f>E30-D30</x:f>
        <x:v>0</x:v>
      </x:c>
      <x:c r="G30" s="17" t="str">
        <x:v>CASH_A</x:v>
      </x:c>
      <x:c r="H30" s="17" t="n">
        <x:v>39</x:v>
      </x:c>
      <x:c r="I30" s="25"/>
      <x:c r="J30" s="17"/>
      <x:c r="K30" s="17" t="str">
        <x:v>862a086db0d8b43217cf04659ae076f7a95028336fa17aa67a2b7e4bc50704f1</x:v>
      </x:c>
      <x:c r="L30" s="17"/>
      <x:c r="M30" s="17"/>
      <x:c r="N30" s="17"/>
    </x:row>
    <x:row r="31" ht="21" customHeight="1">
      <x:c r="A31" s="27" t="d">
        <x:v>2025-11-14T00:00:00.000Z</x:v>
      </x:c>
      <x:c r="B31" s="17" t="str">
        <x:v>EXTERNAL_FUNDING</x:v>
      </x:c>
      <x:c r="C31" s="22" t="n">
        <x:v>3501062</x:v>
      </x:c>
      <x:c r="D31" s="22" t="n">
        <x:v>3501118</x:v>
      </x:c>
      <x:c r="E31" s="22" t="n">
        <x:f>SUM($C$5:C31)</x:f>
        <x:v>3501118</x:v>
      </x:c>
      <x:c r="F31" s="29" t="n">
        <x:f>E31-D31</x:f>
        <x:v>0</x:v>
      </x:c>
      <x:c r="G31" s="17" t="str">
        <x:v>CASH_A</x:v>
      </x:c>
      <x:c r="H31" s="17" t="n">
        <x:v>40</x:v>
      </x:c>
      <x:c r="I31" s="25"/>
      <x:c r="J31" s="17"/>
      <x:c r="K31" s="17" t="str">
        <x:v>862a086db0d8b43217cf04659ae076f7a95028336fa17aa67a2b7e4bc50704f1</x:v>
      </x:c>
      <x:c r="L31" s="17"/>
      <x:c r="M31" s="17"/>
      <x:c r="N31" s="17"/>
    </x:row>
    <x:row r="32" ht="21" customHeight="1">
      <x:c r="A32" s="27" t="d">
        <x:v>2025-11-14T00:00:00.000Z</x:v>
      </x:c>
      <x:c r="B32" s="17" t="str">
        <x:v>BUY_PAYMENT</x:v>
      </x:c>
      <x:c r="C32" s="22" t="n">
        <x:v>-3500000</x:v>
      </x:c>
      <x:c r="D32" s="22" t="n">
        <x:v>1118</x:v>
      </x:c>
      <x:c r="E32" s="22" t="n">
        <x:f>SUM($C$5:C32)</x:f>
        <x:v>1118</x:v>
      </x:c>
      <x:c r="F32" s="29" t="n">
        <x:f>E32-D32</x:f>
        <x:v>0</x:v>
      </x:c>
      <x:c r="G32" s="17" t="str">
        <x:v>CASH_A</x:v>
      </x:c>
      <x:c r="H32" s="17" t="n">
        <x:v>41</x:v>
      </x:c>
      <x:c r="I32" s="25" t="d">
        <x:v>2025-11-14T00:00:00.000Z</x:v>
      </x:c>
      <x:c r="J32" s="17"/>
      <x:c r="K32" s="17" t="str">
        <x:v>862a086db0d8b43217cf04659ae076f7a95028336fa17aa67a2b7e4bc50704f1</x:v>
      </x:c>
      <x:c r="L32" s="17"/>
      <x:c r="M32" s="17"/>
      <x:c r="N32" s="17"/>
    </x:row>
    <x:row r="33" ht="21" customHeight="1">
      <x:c r="A33" s="27" t="d">
        <x:v>2025-11-14T00:00:00.000Z</x:v>
      </x:c>
      <x:c r="B33" s="17" t="str">
        <x:v>BUY_FEE</x:v>
      </x:c>
      <x:c r="C33" s="22" t="n">
        <x:v>-1050</x:v>
      </x:c>
      <x:c r="D33" s="22" t="n">
        <x:v>68</x:v>
      </x:c>
      <x:c r="E33" s="22" t="n">
        <x:f>SUM($C$5:C33)</x:f>
        <x:v>68</x:v>
      </x:c>
      <x:c r="F33" s="29" t="n">
        <x:f>E33-D33</x:f>
        <x:v>0</x:v>
      </x:c>
      <x:c r="G33" s="17" t="str">
        <x:v>CASH_A</x:v>
      </x:c>
      <x:c r="H33" s="17" t="n">
        <x:v>42</x:v>
      </x:c>
      <x:c r="I33" s="25" t="d">
        <x:v>2025-11-14T00:00:00.000Z</x:v>
      </x:c>
      <x:c r="J33" s="17"/>
      <x:c r="K33" s="17" t="str">
        <x:v>862a086db0d8b43217cf04659ae076f7a95028336fa17aa67a2b7e4bc50704f1</x:v>
      </x:c>
      <x:c r="L33" s="17"/>
      <x:c r="M33" s="17"/>
      <x:c r="N33" s="17"/>
    </x:row>
    <x:row r="34" ht="21" customHeight="1">
      <x:c r="A34" s="27" t="d">
        <x:v>2025-11-28T00:00:00.000Z</x:v>
      </x:c>
      <x:c r="B34" s="17" t="str">
        <x:v>INTEREST</x:v>
      </x:c>
      <x:c r="C34" s="22" t="n">
        <x:v>6</x:v>
      </x:c>
      <x:c r="D34" s="22" t="n">
        <x:v>74</x:v>
      </x:c>
      <x:c r="E34" s="22" t="n">
        <x:f>SUM($C$5:C34)</x:f>
        <x:v>74</x:v>
      </x:c>
      <x:c r="F34" s="29" t="n">
        <x:f>E34-D34</x:f>
        <x:v>0</x:v>
      </x:c>
      <x:c r="G34" s="17" t="str">
        <x:v>CASH_A</x:v>
      </x:c>
      <x:c r="H34" s="17" t="n">
        <x:v>43</x:v>
      </x:c>
      <x:c r="I34" s="25"/>
      <x:c r="J34" s="17"/>
      <x:c r="K34" s="17" t="str">
        <x:v>862a086db0d8b43217cf04659ae076f7a95028336fa17aa67a2b7e4bc50704f1</x:v>
      </x:c>
      <x:c r="L34" s="17"/>
      <x:c r="M34" s="17"/>
      <x:c r="N34" s="17"/>
    </x:row>
    <x:row r="35" ht="21" customHeight="1">
      <x:c r="A35" s="27" t="d">
        <x:v>2025-11-28T00:00:00.000Z</x:v>
      </x:c>
      <x:c r="B35" s="17" t="str">
        <x:v>CUSTODY</x:v>
      </x:c>
      <x:c r="C35" s="22" t="n">
        <x:v>-74</x:v>
      </x:c>
      <x:c r="D35" s="22" t="n">
        <x:v>0</x:v>
      </x:c>
      <x:c r="E35" s="22" t="n">
        <x:f>SUM($C$5:C35)</x:f>
        <x:v>0</x:v>
      </x:c>
      <x:c r="F35" s="29" t="n">
        <x:f>E35-D35</x:f>
        <x:v>0</x:v>
      </x:c>
      <x:c r="G35" s="17" t="str">
        <x:v>CASH_A</x:v>
      </x:c>
      <x:c r="H35" s="17" t="n">
        <x:v>44</x:v>
      </x:c>
      <x:c r="I35" s="25"/>
      <x:c r="J35" s="17"/>
      <x:c r="K35" s="17" t="str">
        <x:v>862a086db0d8b43217cf04659ae076f7a95028336fa17aa67a2b7e4bc50704f1</x:v>
      </x:c>
      <x:c r="L35" s="17"/>
      <x:c r="M35" s="17"/>
      <x:c r="N35" s="17"/>
    </x:row>
    <x:row r="36" ht="21" customHeight="1">
      <x:c r="A36" s="27" t="d">
        <x:v>2025-12-12T00:00:00.000Z</x:v>
      </x:c>
      <x:c r="B36" s="17" t="str">
        <x:v>DIVIDEND_NET</x:v>
      </x:c>
      <x:c r="C36" s="22" t="n">
        <x:v>95000</x:v>
      </x:c>
      <x:c r="D36" s="22" t="n">
        <x:v>95000</x:v>
      </x:c>
      <x:c r="E36" s="22" t="n">
        <x:f>SUM($C$5:C36)</x:f>
        <x:v>95000</x:v>
      </x:c>
      <x:c r="F36" s="29" t="n">
        <x:f>E36-D36</x:f>
        <x:v>0</x:v>
      </x:c>
      <x:c r="G36" s="17" t="str">
        <x:v>CASH_A</x:v>
      </x:c>
      <x:c r="H36" s="17" t="n">
        <x:v>45</x:v>
      </x:c>
      <x:c r="I36" s="25"/>
      <x:c r="J36" s="17" t="str">
        <x:v>FPT</x:v>
      </x:c>
      <x:c r="K36" s="17" t="str">
        <x:v>862a086db0d8b43217cf04659ae076f7a95028336fa17aa67a2b7e4bc50704f1</x:v>
      </x:c>
      <x:c r="L36" s="17"/>
      <x:c r="M36" s="17"/>
      <x:c r="N36" s="17"/>
    </x:row>
    <x:row r="37" ht="21" customHeight="1">
      <x:c r="A37" s="27" t="d">
        <x:v>2025-12-12T00:00:00.000Z</x:v>
      </x:c>
      <x:c r="B37" s="17" t="str">
        <x:v>CUSTODY</x:v>
      </x:c>
      <x:c r="C37" s="22" t="n">
        <x:v>-109</x:v>
      </x:c>
      <x:c r="D37" s="22" t="n">
        <x:v>94891</x:v>
      </x:c>
      <x:c r="E37" s="22" t="n">
        <x:f>SUM($C$5:C37)</x:f>
        <x:v>94891</x:v>
      </x:c>
      <x:c r="F37" s="29" t="n">
        <x:f>E37-D37</x:f>
        <x:v>0</x:v>
      </x:c>
      <x:c r="G37" s="17" t="str">
        <x:v>CASH_A</x:v>
      </x:c>
      <x:c r="H37" s="17" t="n">
        <x:v>46</x:v>
      </x:c>
      <x:c r="I37" s="25"/>
      <x:c r="J37" s="17"/>
      <x:c r="K37" s="17" t="str">
        <x:v>862a086db0d8b43217cf04659ae076f7a95028336fa17aa67a2b7e4bc50704f1</x:v>
      </x:c>
      <x:c r="L37" s="17"/>
      <x:c r="M37" s="17"/>
      <x:c r="N37" s="17"/>
    </x:row>
    <x:row r="38" ht="21" customHeight="1">
      <x:c r="A38" s="27" t="d">
        <x:v>2025-12-31T00:00:00.000Z</x:v>
      </x:c>
      <x:c r="B38" s="17" t="str">
        <x:v>INTEREST</x:v>
      </x:c>
      <x:c r="C38" s="22" t="n">
        <x:v>22</x:v>
      </x:c>
      <x:c r="D38" s="22" t="n">
        <x:v>94913</x:v>
      </x:c>
      <x:c r="E38" s="22" t="n">
        <x:f>SUM($C$5:C38)</x:f>
        <x:v>94913</x:v>
      </x:c>
      <x:c r="F38" s="29" t="n">
        <x:f>E38-D38</x:f>
        <x:v>0</x:v>
      </x:c>
      <x:c r="G38" s="17" t="str">
        <x:v>CASH_A</x:v>
      </x:c>
      <x:c r="H38" s="17" t="n">
        <x:v>47</x:v>
      </x:c>
      <x:c r="I38" s="25"/>
      <x:c r="J38" s="17"/>
      <x:c r="K38" s="17" t="str">
        <x:v>862a086db0d8b43217cf04659ae076f7a95028336fa17aa67a2b7e4bc50704f1</x:v>
      </x:c>
      <x:c r="L38" s="17"/>
      <x:c r="M38" s="17"/>
      <x:c r="N38" s="17"/>
    </x:row>
    <x:row r="39" ht="21" customHeight="1">
      <x:c r="A39" s="27" t="d">
        <x:v>2025-12-31T00:00:00.000Z</x:v>
      </x:c>
      <x:c r="B39" s="17" t="str">
        <x:v>CUSTODY</x:v>
      </x:c>
      <x:c r="C39" s="22" t="n">
        <x:v>-217</x:v>
      </x:c>
      <x:c r="D39" s="22" t="n">
        <x:v>94696</x:v>
      </x:c>
      <x:c r="E39" s="22" t="n">
        <x:f>SUM($C$5:C39)</x:f>
        <x:v>94696</x:v>
      </x:c>
      <x:c r="F39" s="29" t="n">
        <x:f>E39-D39</x:f>
        <x:v>0</x:v>
      </x:c>
      <x:c r="G39" s="17" t="str">
        <x:v>CASH_A</x:v>
      </x:c>
      <x:c r="H39" s="17" t="n">
        <x:v>48</x:v>
      </x:c>
      <x:c r="I39" s="25"/>
      <x:c r="J39" s="17"/>
      <x:c r="K39" s="17" t="str">
        <x:v>862a086db0d8b43217cf04659ae076f7a95028336fa17aa67a2b7e4bc50704f1</x:v>
      </x:c>
      <x:c r="L39" s="17"/>
      <x:c r="M39" s="17"/>
      <x:c r="N39" s="17"/>
    </x:row>
    <x:row r="40" ht="21" customHeight="1">
      <x:c r="A40" s="27" t="d">
        <x:v>2026-01-19T00:00:00.000Z</x:v>
      </x:c>
      <x:c r="B40" s="17" t="str">
        <x:v>EXTERNAL_FUNDING</x:v>
      </x:c>
      <x:c r="C40" s="22" t="n">
        <x:v>13829606</x:v>
      </x:c>
      <x:c r="D40" s="22" t="n">
        <x:v>13924302</x:v>
      </x:c>
      <x:c r="E40" s="22" t="n">
        <x:f>SUM($C$5:C40)</x:f>
        <x:v>13924302</x:v>
      </x:c>
      <x:c r="F40" s="29" t="n">
        <x:f>E40-D40</x:f>
        <x:v>0</x:v>
      </x:c>
      <x:c r="G40" s="17" t="str">
        <x:v>CASH_B</x:v>
      </x:c>
      <x:c r="H40" s="17" t="n">
        <x:v>14</x:v>
      </x:c>
      <x:c r="I40" s="25"/>
      <x:c r="J40" s="17"/>
      <x:c r="K40" s="17" t="str">
        <x:v>69df6884b32b5a85b765aaa77e55d07b83815584ec00fecce77c298f7e30ee01</x:v>
      </x:c>
      <x:c r="L40" s="17"/>
      <x:c r="M40" s="17"/>
      <x:c r="N40" s="17"/>
    </x:row>
    <x:row r="41" ht="21" customHeight="1">
      <x:c r="A41" s="27" t="d">
        <x:v>2026-01-19T00:00:00.000Z</x:v>
      </x:c>
      <x:c r="B41" s="17" t="str">
        <x:v>BUY_PAYMENT</x:v>
      </x:c>
      <x:c r="C41" s="22" t="n">
        <x:v>-13920000</x:v>
      </x:c>
      <x:c r="D41" s="22" t="n">
        <x:v>4302</x:v>
      </x:c>
      <x:c r="E41" s="22" t="n">
        <x:f>SUM($C$5:C41)</x:f>
        <x:v>4302</x:v>
      </x:c>
      <x:c r="F41" s="29" t="n">
        <x:f>E41-D41</x:f>
        <x:v>0</x:v>
      </x:c>
      <x:c r="G41" s="17" t="str">
        <x:v>CASH_B</x:v>
      </x:c>
      <x:c r="H41" s="17" t="n">
        <x:v>15</x:v>
      </x:c>
      <x:c r="I41" s="25" t="d">
        <x:v>2026-01-19T00:00:00.000Z</x:v>
      </x:c>
      <x:c r="J41" s="17"/>
      <x:c r="K41" s="17" t="str">
        <x:v>69df6884b32b5a85b765aaa77e55d07b83815584ec00fecce77c298f7e30ee01</x:v>
      </x:c>
      <x:c r="L41" s="17"/>
      <x:c r="M41" s="17"/>
      <x:c r="N41" s="17"/>
    </x:row>
    <x:row r="42" ht="21" customHeight="1">
      <x:c r="A42" s="27" t="d">
        <x:v>2026-01-19T00:00:00.000Z</x:v>
      </x:c>
      <x:c r="B42" s="17" t="str">
        <x:v>BUY_FEE</x:v>
      </x:c>
      <x:c r="C42" s="22" t="n">
        <x:v>-4176</x:v>
      </x:c>
      <x:c r="D42" s="22" t="n">
        <x:v>126</x:v>
      </x:c>
      <x:c r="E42" s="22" t="n">
        <x:f>SUM($C$5:C42)</x:f>
        <x:v>126</x:v>
      </x:c>
      <x:c r="F42" s="29" t="n">
        <x:f>E42-D42</x:f>
        <x:v>0</x:v>
      </x:c>
      <x:c r="G42" s="17" t="str">
        <x:v>CASH_B</x:v>
      </x:c>
      <x:c r="H42" s="17" t="n">
        <x:v>16</x:v>
      </x:c>
      <x:c r="I42" s="25" t="d">
        <x:v>2026-01-19T00:00:00.000Z</x:v>
      </x:c>
      <x:c r="J42" s="17"/>
      <x:c r="K42" s="17" t="str">
        <x:v>69df6884b32b5a85b765aaa77e55d07b83815584ec00fecce77c298f7e30ee01</x:v>
      </x:c>
      <x:c r="L42" s="17"/>
      <x:c r="M42" s="17"/>
      <x:c r="N42" s="17"/>
    </x:row>
    <x:row r="43" ht="21" customHeight="1">
      <x:c r="A43" s="27" t="d">
        <x:v>2026-01-30T00:00:00.000Z</x:v>
      </x:c>
      <x:c r="B43" s="17" t="str">
        <x:v>INTEREST</x:v>
      </x:c>
      <x:c r="C43" s="22" t="n">
        <x:v>23</x:v>
      </x:c>
      <x:c r="D43" s="22" t="n">
        <x:v>149</x:v>
      </x:c>
      <x:c r="E43" s="22" t="n">
        <x:f>SUM($C$5:C43)</x:f>
        <x:v>149</x:v>
      </x:c>
      <x:c r="F43" s="29" t="n">
        <x:f>E43-D43</x:f>
        <x:v>0</x:v>
      </x:c>
      <x:c r="G43" s="17" t="str">
        <x:v>CASH_B</x:v>
      </x:c>
      <x:c r="H43" s="17" t="n">
        <x:v>17</x:v>
      </x:c>
      <x:c r="I43" s="25"/>
      <x:c r="J43" s="17"/>
      <x:c r="K43" s="17" t="str">
        <x:v>69df6884b32b5a85b765aaa77e55d07b83815584ec00fecce77c298f7e30ee01</x:v>
      </x:c>
      <x:c r="L43" s="17"/>
      <x:c r="M43" s="17"/>
      <x:c r="N43" s="17"/>
    </x:row>
    <x:row r="44" ht="21" customHeight="1">
      <x:c r="A44" s="27" t="d">
        <x:v>2026-01-30T00:00:00.000Z</x:v>
      </x:c>
      <x:c r="B44" s="17" t="str">
        <x:v>CUSTODY</x:v>
      </x:c>
      <x:c r="C44" s="22" t="n">
        <x:v>-149</x:v>
      </x:c>
      <x:c r="D44" s="22" t="n">
        <x:v>0</x:v>
      </x:c>
      <x:c r="E44" s="22" t="n">
        <x:f>SUM($C$5:C44)</x:f>
        <x:v>0</x:v>
      </x:c>
      <x:c r="F44" s="29" t="n">
        <x:f>E44-D44</x:f>
        <x:v>0</x:v>
      </x:c>
      <x:c r="G44" s="17" t="str">
        <x:v>CASH_B</x:v>
      </x:c>
      <x:c r="H44" s="17" t="n">
        <x:v>18</x:v>
      </x:c>
      <x:c r="I44" s="25"/>
      <x:c r="J44" s="17"/>
      <x:c r="K44" s="17" t="str">
        <x:v>69df6884b32b5a85b765aaa77e55d07b83815584ec00fecce77c298f7e30ee01</x:v>
      </x:c>
      <x:c r="L44" s="17"/>
      <x:c r="M44" s="17"/>
      <x:c r="N44" s="17"/>
    </x:row>
    <x:row r="45" ht="21" customHeight="1">
      <x:c r="A45" s="27" t="d">
        <x:v>2026-03-04T00:00:00.000Z</x:v>
      </x:c>
      <x:c r="B45" s="17" t="str">
        <x:v>EXTERNAL_FUNDING</x:v>
      </x:c>
      <x:c r="C45" s="22" t="n">
        <x:v>369</x:v>
      </x:c>
      <x:c r="D45" s="22" t="n">
        <x:v>369</x:v>
      </x:c>
      <x:c r="E45" s="22" t="n">
        <x:f>SUM($C$5:C45)</x:f>
        <x:v>369</x:v>
      </x:c>
      <x:c r="F45" s="29" t="n">
        <x:f>E45-D45</x:f>
        <x:v>0</x:v>
      </x:c>
      <x:c r="G45" s="17" t="str">
        <x:v>CASH_B</x:v>
      </x:c>
      <x:c r="H45" s="17" t="n">
        <x:v>19</x:v>
      </x:c>
      <x:c r="I45" s="25"/>
      <x:c r="J45" s="17"/>
      <x:c r="K45" s="17" t="str">
        <x:v>69df6884b32b5a85b765aaa77e55d07b83815584ec00fecce77c298f7e30ee01</x:v>
      </x:c>
      <x:c r="L45" s="17"/>
      <x:c r="M45" s="17"/>
      <x:c r="N45" s="17"/>
    </x:row>
    <x:row r="46" ht="21" customHeight="1">
      <x:c r="A46" s="27" t="d">
        <x:v>2026-03-04T00:00:00.000Z</x:v>
      </x:c>
      <x:c r="B46" s="17" t="str">
        <x:v>CUSTODY</x:v>
      </x:c>
      <x:c r="C46" s="22" t="n">
        <x:v>-90</x:v>
      </x:c>
      <x:c r="D46" s="22" t="n">
        <x:v>279</x:v>
      </x:c>
      <x:c r="E46" s="22" t="n">
        <x:f>SUM($C$5:C46)</x:f>
        <x:v>279</x:v>
      </x:c>
      <x:c r="F46" s="29" t="n">
        <x:f>E46-D46</x:f>
        <x:v>0</x:v>
      </x:c>
      <x:c r="G46" s="17" t="str">
        <x:v>CASH_B</x:v>
      </x:c>
      <x:c r="H46" s="17" t="n">
        <x:v>20</x:v>
      </x:c>
      <x:c r="I46" s="25"/>
      <x:c r="J46" s="17"/>
      <x:c r="K46" s="17" t="str">
        <x:v>69df6884b32b5a85b765aaa77e55d07b83815584ec00fecce77c298f7e30ee01</x:v>
      </x:c>
      <x:c r="L46" s="17"/>
      <x:c r="M46" s="17"/>
      <x:c r="N46" s="17"/>
    </x:row>
    <x:row r="47" ht="21" customHeight="1">
      <x:c r="A47" s="27" t="d">
        <x:v>2026-03-04T00:00:00.000Z</x:v>
      </x:c>
      <x:c r="B47" s="17" t="str">
        <x:v>CUSTODY</x:v>
      </x:c>
      <x:c r="C47" s="22" t="n">
        <x:v>-252</x:v>
      </x:c>
      <x:c r="D47" s="22" t="n">
        <x:v>27</x:v>
      </x:c>
      <x:c r="E47" s="22" t="n">
        <x:f>SUM($C$5:C47)</x:f>
        <x:v>27</x:v>
      </x:c>
      <x:c r="F47" s="29" t="n">
        <x:f>E47-D47</x:f>
        <x:v>0</x:v>
      </x:c>
      <x:c r="G47" s="17" t="str">
        <x:v>CASH_B</x:v>
      </x:c>
      <x:c r="H47" s="17" t="n">
        <x:v>21</x:v>
      </x:c>
      <x:c r="I47" s="25"/>
      <x:c r="J47" s="17"/>
      <x:c r="K47" s="17" t="str">
        <x:v>69df6884b32b5a85b765aaa77e55d07b83815584ec00fecce77c298f7e30ee01</x:v>
      </x:c>
      <x:c r="L47" s="17"/>
      <x:c r="M47" s="17"/>
      <x:c r="N47" s="17"/>
    </x:row>
    <x:row r="48" ht="21" customHeight="1">
      <x:c r="A48" s="27" t="d">
        <x:v>2026-03-05T00:00:00.000Z</x:v>
      </x:c>
      <x:c r="B48" s="17" t="str">
        <x:v>EXTERNAL_FUNDING</x:v>
      </x:c>
      <x:c r="C48" s="22" t="n">
        <x:v>8532568</x:v>
      </x:c>
      <x:c r="D48" s="22" t="n">
        <x:v>8532595</x:v>
      </x:c>
      <x:c r="E48" s="22" t="n">
        <x:f>SUM($C$5:C48)</x:f>
        <x:v>8532595</x:v>
      </x:c>
      <x:c r="F48" s="29" t="n">
        <x:f>E48-D48</x:f>
        <x:v>0</x:v>
      </x:c>
      <x:c r="G48" s="17" t="str">
        <x:v>CASH_B</x:v>
      </x:c>
      <x:c r="H48" s="17" t="n">
        <x:v>22</x:v>
      </x:c>
      <x:c r="I48" s="25"/>
      <x:c r="J48" s="17"/>
      <x:c r="K48" s="17" t="str">
        <x:v>69df6884b32b5a85b765aaa77e55d07b83815584ec00fecce77c298f7e30ee01</x:v>
      </x:c>
      <x:c r="L48" s="17"/>
      <x:c r="M48" s="17"/>
      <x:c r="N48" s="17"/>
    </x:row>
    <x:row r="49" ht="21" customHeight="1">
      <x:c r="A49" s="27" t="d">
        <x:v>2026-03-05T00:00:00.000Z</x:v>
      </x:c>
      <x:c r="B49" s="17" t="str">
        <x:v>BUY_PAYMENT</x:v>
      </x:c>
      <x:c r="C49" s="22" t="n">
        <x:v>-8530000</x:v>
      </x:c>
      <x:c r="D49" s="22" t="n">
        <x:v>2595</x:v>
      </x:c>
      <x:c r="E49" s="22" t="n">
        <x:f>SUM($C$5:C49)</x:f>
        <x:v>2595</x:v>
      </x:c>
      <x:c r="F49" s="29" t="n">
        <x:f>E49-D49</x:f>
        <x:v>0</x:v>
      </x:c>
      <x:c r="G49" s="17" t="str">
        <x:v>CASH_B</x:v>
      </x:c>
      <x:c r="H49" s="17" t="n">
        <x:v>23</x:v>
      </x:c>
      <x:c r="I49" s="25" t="d">
        <x:v>2026-03-05T00:00:00.000Z</x:v>
      </x:c>
      <x:c r="J49" s="17"/>
      <x:c r="K49" s="17" t="str">
        <x:v>69df6884b32b5a85b765aaa77e55d07b83815584ec00fecce77c298f7e30ee01</x:v>
      </x:c>
      <x:c r="L49" s="17"/>
      <x:c r="M49" s="17"/>
      <x:c r="N49" s="17"/>
    </x:row>
    <x:row r="50" ht="21" customHeight="1">
      <x:c r="A50" s="27" t="d">
        <x:v>2026-03-05T00:00:00.000Z</x:v>
      </x:c>
      <x:c r="B50" s="17" t="str">
        <x:v>BUY_FEE</x:v>
      </x:c>
      <x:c r="C50" s="22" t="n">
        <x:v>-2559</x:v>
      </x:c>
      <x:c r="D50" s="22" t="n">
        <x:v>36</x:v>
      </x:c>
      <x:c r="E50" s="22" t="n">
        <x:f>SUM($C$5:C50)</x:f>
        <x:v>36</x:v>
      </x:c>
      <x:c r="F50" s="29" t="n">
        <x:f>E50-D50</x:f>
        <x:v>0</x:v>
      </x:c>
      <x:c r="G50" s="17" t="str">
        <x:v>CASH_B</x:v>
      </x:c>
      <x:c r="H50" s="17" t="n">
        <x:v>24</x:v>
      </x:c>
      <x:c r="I50" s="25" t="d">
        <x:v>2026-03-05T00:00:00.000Z</x:v>
      </x:c>
      <x:c r="J50" s="17"/>
      <x:c r="K50" s="17" t="str">
        <x:v>69df6884b32b5a85b765aaa77e55d07b83815584ec00fecce77c298f7e30ee01</x:v>
      </x:c>
      <x:c r="L50" s="17"/>
      <x:c r="M50" s="17"/>
      <x:c r="N50" s="17"/>
    </x:row>
    <x:row r="51" ht="21" customHeight="1">
      <x:c r="A51" s="27" t="d">
        <x:v>2026-03-31T00:00:00.000Z</x:v>
      </x:c>
      <x:c r="B51" s="17" t="str">
        <x:v>CUSTODY</x:v>
      </x:c>
      <x:c r="C51" s="22" t="n">
        <x:v>-36</x:v>
      </x:c>
      <x:c r="D51" s="22" t="n">
        <x:v>0</x:v>
      </x:c>
      <x:c r="E51" s="22" t="n">
        <x:f>SUM($C$5:C51)</x:f>
        <x:v>0</x:v>
      </x:c>
      <x:c r="F51" s="29" t="n">
        <x:f>E51-D51</x:f>
        <x:v>0</x:v>
      </x:c>
      <x:c r="G51" s="17" t="str">
        <x:v>CASH_B</x:v>
      </x:c>
      <x:c r="H51" s="17" t="n">
        <x:v>25</x:v>
      </x:c>
      <x:c r="I51" s="25"/>
      <x:c r="J51" s="17"/>
      <x:c r="K51" s="17" t="str">
        <x:v>69df6884b32b5a85b765aaa77e55d07b83815584ec00fecce77c298f7e30ee01</x:v>
      </x:c>
      <x:c r="L51" s="17"/>
      <x:c r="M51" s="17"/>
      <x:c r="N51" s="17"/>
    </x:row>
    <x:row r="52" ht="21" customHeight="1">
      <x:c r="A52" s="27" t="d">
        <x:v>2026-05-04T00:00:00.000Z</x:v>
      </x:c>
      <x:c r="B52" s="17" t="str">
        <x:v>EXTERNAL_FUNDING</x:v>
      </x:c>
      <x:c r="C52" s="22" t="n">
        <x:v>596</x:v>
      </x:c>
      <x:c r="D52" s="22" t="n">
        <x:v>596</x:v>
      </x:c>
      <x:c r="E52" s="22" t="n">
        <x:f>SUM($C$5:C52)</x:f>
        <x:v>596</x:v>
      </x:c>
      <x:c r="F52" s="29" t="n">
        <x:f>E52-D52</x:f>
        <x:v>0</x:v>
      </x:c>
      <x:c r="G52" s="17" t="str">
        <x:v>CASH_B</x:v>
      </x:c>
      <x:c r="H52" s="17" t="n">
        <x:v>26</x:v>
      </x:c>
      <x:c r="I52" s="25"/>
      <x:c r="J52" s="17"/>
      <x:c r="K52" s="17" t="str">
        <x:v>69df6884b32b5a85b765aaa77e55d07b83815584ec00fecce77c298f7e30ee01</x:v>
      </x:c>
      <x:c r="L52" s="17"/>
      <x:c r="M52" s="17"/>
      <x:c r="N52" s="17"/>
    </x:row>
    <x:row r="53" ht="21" customHeight="1">
      <x:c r="A53" s="27" t="d">
        <x:v>2026-05-04T00:00:00.000Z</x:v>
      </x:c>
      <x:c r="B53" s="17" t="str">
        <x:v>CUSTODY</x:v>
      </x:c>
      <x:c r="C53" s="22" t="n">
        <x:v>-266</x:v>
      </x:c>
      <x:c r="D53" s="22" t="n">
        <x:v>330</x:v>
      </x:c>
      <x:c r="E53" s="22" t="n">
        <x:f>SUM($C$5:C53)</x:f>
        <x:v>330</x:v>
      </x:c>
      <x:c r="F53" s="29" t="n">
        <x:f>E53-D53</x:f>
        <x:v>0</x:v>
      </x:c>
      <x:c r="G53" s="17" t="str">
        <x:v>CASH_B</x:v>
      </x:c>
      <x:c r="H53" s="17" t="n">
        <x:v>27</x:v>
      </x:c>
      <x:c r="I53" s="25"/>
      <x:c r="J53" s="17"/>
      <x:c r="K53" s="17" t="str">
        <x:v>69df6884b32b5a85b765aaa77e55d07b83815584ec00fecce77c298f7e30ee01</x:v>
      </x:c>
      <x:c r="L53" s="17"/>
      <x:c r="M53" s="17"/>
      <x:c r="N53" s="17"/>
    </x:row>
    <x:row r="54" ht="21" customHeight="1">
      <x:c r="A54" s="27" t="d">
        <x:v>2026-05-04T00:00:00.000Z</x:v>
      </x:c>
      <x:c r="B54" s="17" t="str">
        <x:v>CUSTODY</x:v>
      </x:c>
      <x:c r="C54" s="22" t="n">
        <x:v>-300</x:v>
      </x:c>
      <x:c r="D54" s="22" t="n">
        <x:v>30</x:v>
      </x:c>
      <x:c r="E54" s="22" t="n">
        <x:f>SUM($C$5:C54)</x:f>
        <x:v>30</x:v>
      </x:c>
      <x:c r="F54" s="29" t="n">
        <x:f>E54-D54</x:f>
        <x:v>0</x:v>
      </x:c>
      <x:c r="G54" s="17" t="str">
        <x:v>CASH_B</x:v>
      </x:c>
      <x:c r="H54" s="17" t="n">
        <x:v>28</x:v>
      </x:c>
      <x:c r="I54" s="25"/>
      <x:c r="J54" s="17"/>
      <x:c r="K54" s="17" t="str">
        <x:v>69df6884b32b5a85b765aaa77e55d07b83815584ec00fecce77c298f7e30ee01</x:v>
      </x:c>
      <x:c r="L54" s="17"/>
      <x:c r="M54" s="17"/>
      <x:c r="N54" s="17"/>
    </x:row>
    <x:row r="55" ht="21" customHeight="1">
      <x:c r="A55" s="27" t="d">
        <x:v>2026-05-21T00:00:00.000Z</x:v>
      </x:c>
      <x:c r="B55" s="17" t="str">
        <x:v>EXTERNAL_FUNDING</x:v>
      </x:c>
      <x:c r="C55" s="22" t="n">
        <x:v>8702780</x:v>
      </x:c>
      <x:c r="D55" s="22" t="n">
        <x:v>8702810</x:v>
      </x:c>
      <x:c r="E55" s="22" t="n">
        <x:f>SUM($C$5:C55)</x:f>
        <x:v>8702810</x:v>
      </x:c>
      <x:c r="F55" s="29" t="n">
        <x:f>E55-D55</x:f>
        <x:v>0</x:v>
      </x:c>
      <x:c r="G55" s="17" t="str">
        <x:v>CASH_B</x:v>
      </x:c>
      <x:c r="H55" s="17" t="n">
        <x:v>29</x:v>
      </x:c>
      <x:c r="I55" s="25"/>
      <x:c r="J55" s="17"/>
      <x:c r="K55" s="17" t="str">
        <x:v>69df6884b32b5a85b765aaa77e55d07b83815584ec00fecce77c298f7e30ee01</x:v>
      </x:c>
      <x:c r="L55" s="17"/>
      <x:c r="M55" s="17"/>
      <x:c r="N55" s="17"/>
    </x:row>
    <x:row r="56" ht="21" customHeight="1">
      <x:c r="A56" s="27" t="d">
        <x:v>2026-05-21T00:00:00.000Z</x:v>
      </x:c>
      <x:c r="B56" s="17" t="str">
        <x:v>BUY_PAYMENT</x:v>
      </x:c>
      <x:c r="C56" s="22" t="n">
        <x:v>-8700000</x:v>
      </x:c>
      <x:c r="D56" s="22" t="n">
        <x:v>2810</x:v>
      </x:c>
      <x:c r="E56" s="22" t="n">
        <x:f>SUM($C$5:C56)</x:f>
        <x:v>2810</x:v>
      </x:c>
      <x:c r="F56" s="29" t="n">
        <x:f>E56-D56</x:f>
        <x:v>0</x:v>
      </x:c>
      <x:c r="G56" s="17" t="str">
        <x:v>CASH_B</x:v>
      </x:c>
      <x:c r="H56" s="17" t="n">
        <x:v>30</x:v>
      </x:c>
      <x:c r="I56" s="25" t="d">
        <x:v>2026-05-21T00:00:00.000Z</x:v>
      </x:c>
      <x:c r="J56" s="17"/>
      <x:c r="K56" s="17" t="str">
        <x:v>69df6884b32b5a85b765aaa77e55d07b83815584ec00fecce77c298f7e30ee01</x:v>
      </x:c>
      <x:c r="L56" s="17"/>
      <x:c r="M56" s="17"/>
      <x:c r="N56" s="17"/>
    </x:row>
    <x:row r="57" ht="21" customHeight="1">
      <x:c r="A57" s="27" t="d">
        <x:v>2026-05-21T00:00:00.000Z</x:v>
      </x:c>
      <x:c r="B57" s="17" t="str">
        <x:v>BUY_FEE</x:v>
      </x:c>
      <x:c r="C57" s="22" t="n">
        <x:v>-2610</x:v>
      </x:c>
      <x:c r="D57" s="22" t="n">
        <x:v>200</x:v>
      </x:c>
      <x:c r="E57" s="22" t="n">
        <x:f>SUM($C$5:C57)</x:f>
        <x:v>200</x:v>
      </x:c>
      <x:c r="F57" s="29" t="n">
        <x:f>E57-D57</x:f>
        <x:v>0</x:v>
      </x:c>
      <x:c r="G57" s="17" t="str">
        <x:v>CASH_B</x:v>
      </x:c>
      <x:c r="H57" s="17" t="n">
        <x:v>31</x:v>
      </x:c>
      <x:c r="I57" s="25" t="d">
        <x:v>2026-05-21T00:00:00.000Z</x:v>
      </x:c>
      <x:c r="J57" s="17"/>
      <x:c r="K57" s="17" t="str">
        <x:v>69df6884b32b5a85b765aaa77e55d07b83815584ec00fecce77c298f7e30ee01</x:v>
      </x:c>
      <x:c r="L57" s="17"/>
      <x:c r="M57" s="17"/>
      <x:c r="N57" s="17"/>
    </x:row>
    <x:row r="58" ht="21" customHeight="1">
      <x:c r="A58" s="27" t="d">
        <x:v>2026-05-25T00:00:00.000Z</x:v>
      </x:c>
      <x:c r="B58" s="17" t="str">
        <x:v>EXTERNAL_FUNDING</x:v>
      </x:c>
      <x:c r="C58" s="22" t="n">
        <x:v>40</x:v>
      </x:c>
      <x:c r="D58" s="22" t="n">
        <x:v>240</x:v>
      </x:c>
      <x:c r="E58" s="22" t="n">
        <x:f>SUM($C$5:C58)</x:f>
        <x:v>240</x:v>
      </x:c>
      <x:c r="F58" s="29" t="n">
        <x:f>E58-D58</x:f>
        <x:v>0</x:v>
      </x:c>
      <x:c r="G58" s="17" t="str">
        <x:v>CASH_B</x:v>
      </x:c>
      <x:c r="H58" s="17" t="n">
        <x:v>32</x:v>
      </x:c>
      <x:c r="I58" s="25"/>
      <x:c r="J58" s="17"/>
      <x:c r="K58" s="17" t="str">
        <x:v>69df6884b32b5a85b765aaa77e55d07b83815584ec00fecce77c298f7e30ee01</x:v>
      </x:c>
      <x:c r="L58" s="17"/>
      <x:c r="M58" s="17"/>
      <x:c r="N58" s="17"/>
    </x:row>
    <x:row r="59" ht="21" customHeight="1">
      <x:c r="A59" s="27" t="d">
        <x:v>2026-05-29T00:00:00.000Z</x:v>
      </x:c>
      <x:c r="B59" s="17" t="str">
        <x:v>CUSTODY</x:v>
      </x:c>
      <x:c r="C59" s="22" t="n">
        <x:v>-240</x:v>
      </x:c>
      <x:c r="D59" s="22" t="n">
        <x:v>0</x:v>
      </x:c>
      <x:c r="E59" s="22" t="n">
        <x:f>SUM($C$5:C59)</x:f>
        <x:v>0</x:v>
      </x:c>
      <x:c r="F59" s="29" t="n">
        <x:f>E59-D59</x:f>
        <x:v>0</x:v>
      </x:c>
      <x:c r="G59" s="17" t="str">
        <x:v>CASH_B</x:v>
      </x:c>
      <x:c r="H59" s="17" t="n">
        <x:v>33</x:v>
      </x:c>
      <x:c r="I59" s="25"/>
      <x:c r="J59" s="17"/>
      <x:c r="K59" s="17" t="str">
        <x:v>69df6884b32b5a85b765aaa77e55d07b83815584ec00fecce77c298f7e30ee01</x:v>
      </x:c>
      <x:c r="L59" s="17"/>
      <x:c r="M59" s="17"/>
      <x:c r="N59" s="17"/>
    </x:row>
    <x:row r="60" ht="21" customHeight="1">
      <x:c r="A60" s="27" t="d">
        <x:v>2026-06-03T00:00:00.000Z</x:v>
      </x:c>
      <x:c r="B60" s="17" t="str">
        <x:v>DIVIDEND_NET</x:v>
      </x:c>
      <x:c r="C60" s="22" t="n">
        <x:v>47500</x:v>
      </x:c>
      <x:c r="D60" s="22" t="n">
        <x:v>47500</x:v>
      </x:c>
      <x:c r="E60" s="22" t="n">
        <x:f>SUM($C$5:C60)</x:f>
        <x:v>47500</x:v>
      </x:c>
      <x:c r="F60" s="29" t="n">
        <x:f>E60-D60</x:f>
        <x:v>0</x:v>
      </x:c>
      <x:c r="G60" s="17" t="str">
        <x:v>CASH_B</x:v>
      </x:c>
      <x:c r="H60" s="17" t="n">
        <x:v>34</x:v>
      </x:c>
      <x:c r="I60" s="25"/>
      <x:c r="J60" s="17" t="str">
        <x:v>HPG</x:v>
      </x:c>
      <x:c r="K60" s="17" t="str">
        <x:v>69df6884b32b5a85b765aaa77e55d07b83815584ec00fecce77c298f7e30ee01</x:v>
      </x:c>
      <x:c r="L60" s="17"/>
      <x:c r="M60" s="17"/>
      <x:c r="N60" s="17"/>
    </x:row>
    <x:row r="61" ht="21" customHeight="1">
      <x:c r="A61" s="27" t="d">
        <x:v>2026-06-03T00:00:00.000Z</x:v>
      </x:c>
      <x:c r="B61" s="17" t="str">
        <x:v>CUSTODY</x:v>
      </x:c>
      <x:c r="C61" s="22" t="n">
        <x:v>-77</x:v>
      </x:c>
      <x:c r="D61" s="22" t="n">
        <x:v>47423</x:v>
      </x:c>
      <x:c r="E61" s="22" t="n">
        <x:f>SUM($C$5:C61)</x:f>
        <x:v>47423</x:v>
      </x:c>
      <x:c r="F61" s="29" t="n">
        <x:f>E61-D61</x:f>
        <x:v>0</x:v>
      </x:c>
      <x:c r="G61" s="17" t="str">
        <x:v>CASH_B</x:v>
      </x:c>
      <x:c r="H61" s="17" t="n">
        <x:v>35</x:v>
      </x:c>
      <x:c r="I61" s="25"/>
      <x:c r="J61" s="17"/>
      <x:c r="K61" s="17" t="str">
        <x:v>69df6884b32b5a85b765aaa77e55d07b83815584ec00fecce77c298f7e30ee01</x:v>
      </x:c>
      <x:c r="L61" s="17"/>
      <x:c r="M61" s="17"/>
      <x:c r="N61" s="17"/>
    </x:row>
    <x:row r="62" ht="21" customHeight="1">
      <x:c r="A62" s="27" t="d">
        <x:v>2026-06-10T00:00:00.000Z</x:v>
      </x:c>
      <x:c r="B62" s="17" t="str">
        <x:v>DIVIDEND_NET</x:v>
      </x:c>
      <x:c r="C62" s="22" t="n">
        <x:v>66500</x:v>
      </x:c>
      <x:c r="D62" s="22" t="n">
        <x:v>113923</x:v>
      </x:c>
      <x:c r="E62" s="22" t="n">
        <x:f>SUM($C$5:C62)</x:f>
        <x:v>113923</x:v>
      </x:c>
      <x:c r="F62" s="29" t="n">
        <x:f>E62-D62</x:f>
        <x:v>0</x:v>
      </x:c>
      <x:c r="G62" s="17" t="str">
        <x:v>CASH_B</x:v>
      </x:c>
      <x:c r="H62" s="17" t="n">
        <x:v>36</x:v>
      </x:c>
      <x:c r="I62" s="25"/>
      <x:c r="J62" s="17" t="str">
        <x:v>TCB</x:v>
      </x:c>
      <x:c r="K62" s="17" t="str">
        <x:v>69df6884b32b5a85b765aaa77e55d07b83815584ec00fecce77c298f7e30ee01</x:v>
      </x:c>
      <x:c r="L62" s="17"/>
      <x:c r="M62" s="17"/>
      <x:c r="N62" s="17"/>
    </x:row>
    <x:row r="63" ht="21" customHeight="1">
      <x:c r="A63" s="27" t="d">
        <x:v>2026-06-10T00:00:00.000Z</x:v>
      </x:c>
      <x:c r="B63" s="17" t="str">
        <x:v>DIVIDEND_NET</x:v>
      </x:c>
      <x:c r="C63" s="22" t="n">
        <x:v>95000</x:v>
      </x:c>
      <x:c r="D63" s="22" t="n">
        <x:v>208923</x:v>
      </x:c>
      <x:c r="E63" s="22" t="n">
        <x:f>SUM($C$5:C63)</x:f>
        <x:v>208923</x:v>
      </x:c>
      <x:c r="F63" s="29" t="n">
        <x:f>E63-D63</x:f>
        <x:v>0</x:v>
      </x:c>
      <x:c r="G63" s="17" t="str">
        <x:v>CASH_B</x:v>
      </x:c>
      <x:c r="H63" s="17" t="n">
        <x:v>37</x:v>
      </x:c>
      <x:c r="I63" s="25"/>
      <x:c r="J63" s="17" t="str">
        <x:v>FPT</x:v>
      </x:c>
      <x:c r="K63" s="17" t="str">
        <x:v>69df6884b32b5a85b765aaa77e55d07b83815584ec00fecce77c298f7e30ee01</x:v>
      </x:c>
      <x:c r="L63" s="17"/>
      <x:c r="M63" s="17"/>
      <x:c r="N63" s="17"/>
    </x:row>
    <x:row r="64" ht="21" customHeight="1">
      <x:c r="A64" s="27" t="d">
        <x:v>2026-06-30T00:00:00.000Z</x:v>
      </x:c>
      <x:c r="B64" s="17" t="str">
        <x:v>INTEREST</x:v>
      </x:c>
      <x:c r="C64" s="22" t="n">
        <x:v>66</x:v>
      </x:c>
      <x:c r="D64" s="22" t="n">
        <x:v>208989</x:v>
      </x:c>
      <x:c r="E64" s="22" t="n">
        <x:f>SUM($C$5:C64)</x:f>
        <x:v>208989</x:v>
      </x:c>
      <x:c r="F64" s="29" t="n">
        <x:f>E64-D64</x:f>
        <x:v>0</x:v>
      </x:c>
      <x:c r="G64" s="17" t="str">
        <x:v>CASH_B</x:v>
      </x:c>
      <x:c r="H64" s="17" t="n">
        <x:v>38</x:v>
      </x:c>
      <x:c r="I64" s="25"/>
      <x:c r="J64" s="17"/>
      <x:c r="K64" s="17" t="str">
        <x:v>69df6884b32b5a85b765aaa77e55d07b83815584ec00fecce77c298f7e30ee01</x:v>
      </x:c>
      <x:c r="L64" s="17"/>
      <x:c r="M64" s="17"/>
      <x:c r="N64" s="17"/>
    </x:row>
    <x:row r="65" ht="21" customHeight="1">
      <x:c r="A65" s="27" t="d">
        <x:v>2026-06-30T00:00:00.000Z</x:v>
      </x:c>
      <x:c r="B65" s="17" t="str">
        <x:v>CUSTODY</x:v>
      </x:c>
      <x:c r="C65" s="22" t="n">
        <x:v>-330</x:v>
      </x:c>
      <x:c r="D65" s="22" t="n">
        <x:v>208659</x:v>
      </x:c>
      <x:c r="E65" s="22" t="n">
        <x:f>SUM($C$5:C65)</x:f>
        <x:v>208659</x:v>
      </x:c>
      <x:c r="F65" s="29" t="n">
        <x:f>E65-D65</x:f>
        <x:v>0</x:v>
      </x:c>
      <x:c r="G65" s="17" t="str">
        <x:v>CASH_B</x:v>
      </x:c>
      <x:c r="H65" s="17" t="n">
        <x:v>39</x:v>
      </x:c>
      <x:c r="I65" s="25"/>
      <x:c r="J65" s="17"/>
      <x:c r="K65" s="17" t="str">
        <x:v>69df6884b32b5a85b765aaa77e55d07b83815584ec00fecce77c298f7e30ee01</x:v>
      </x:c>
      <x:c r="L65" s="17"/>
      <x:c r="M65" s="17"/>
      <x:c r="N65" s="17"/>
    </x:row>
    <x:row r="66" ht="21" customHeight="1">
      <x:c r="A66" s="27" t="d">
        <x:v>2026-07-09T00:00:00.000Z</x:v>
      </x:c>
      <x:c r="B66" s="17" t="str">
        <x:v>EXTERNAL_FUNDING</x:v>
      </x:c>
      <x:c r="C66" s="22" t="n">
        <x:v>8023898</x:v>
      </x:c>
      <x:c r="D66" s="22" t="n">
        <x:v>8232557</x:v>
      </x:c>
      <x:c r="E66" s="22" t="n">
        <x:f>SUM($C$5:C66)</x:f>
        <x:v>8232557</x:v>
      </x:c>
      <x:c r="F66" s="29" t="n">
        <x:f>E66-D66</x:f>
        <x:v>0</x:v>
      </x:c>
      <x:c r="G66" s="17" t="str">
        <x:v>CASH_B</x:v>
      </x:c>
      <x:c r="H66" s="17" t="n">
        <x:v>40</x:v>
      </x:c>
      <x:c r="I66" s="25"/>
      <x:c r="J66" s="17"/>
      <x:c r="K66" s="17" t="str">
        <x:v>69df6884b32b5a85b765aaa77e55d07b83815584ec00fecce77c298f7e30ee01</x:v>
      </x:c>
      <x:c r="L66" s="17"/>
      <x:c r="M66" s="17"/>
      <x:c r="N66" s="17"/>
    </x:row>
    <x:row r="67" ht="21" customHeight="1">
      <x:c r="A67" s="27" t="d">
        <x:v>2026-07-09T00:00:00.000Z</x:v>
      </x:c>
      <x:c r="B67" s="17" t="str">
        <x:v>BUY_PAYMENT</x:v>
      </x:c>
      <x:c r="C67" s="22" t="n">
        <x:v>-8230000</x:v>
      </x:c>
      <x:c r="D67" s="22" t="n">
        <x:v>2557</x:v>
      </x:c>
      <x:c r="E67" s="22" t="n">
        <x:f>SUM($C$5:C67)</x:f>
        <x:v>2557</x:v>
      </x:c>
      <x:c r="F67" s="29" t="n">
        <x:f>E67-D67</x:f>
        <x:v>0</x:v>
      </x:c>
      <x:c r="G67" s="17" t="str">
        <x:v>CASH_B</x:v>
      </x:c>
      <x:c r="H67" s="17" t="n">
        <x:v>41</x:v>
      </x:c>
      <x:c r="I67" s="25" t="d">
        <x:v>2026-07-09T00:00:00.000Z</x:v>
      </x:c>
      <x:c r="J67" s="17"/>
      <x:c r="K67" s="17" t="str">
        <x:v>69df6884b32b5a85b765aaa77e55d07b83815584ec00fecce77c298f7e30ee01</x:v>
      </x:c>
      <x:c r="L67" s="17"/>
      <x:c r="M67" s="17"/>
      <x:c r="N67" s="17"/>
    </x:row>
    <x:row r="68" ht="21" customHeight="1">
      <x:c r="A68" s="27" t="d">
        <x:v>2026-07-09T00:00:00.000Z</x:v>
      </x:c>
      <x:c r="B68" s="17" t="str">
        <x:v>BUY_FEE</x:v>
      </x:c>
      <x:c r="C68" s="22" t="n">
        <x:v>-2469</x:v>
      </x:c>
      <x:c r="D68" s="22" t="n">
        <x:v>88</x:v>
      </x:c>
      <x:c r="E68" s="22" t="n">
        <x:f>SUM($C$5:C68)</x:f>
        <x:v>88</x:v>
      </x:c>
      <x:c r="F68" s="29" t="n">
        <x:f>E68-D68</x:f>
        <x:v>0</x:v>
      </x:c>
      <x:c r="G68" s="17" t="str">
        <x:v>CASH_B</x:v>
      </x:c>
      <x:c r="H68" s="17" t="n">
        <x:v>42</x:v>
      </x:c>
      <x:c r="I68" s="25" t="d">
        <x:v>2026-07-09T00:00:00.000Z</x:v>
      </x:c>
      <x:c r="J68" s="17"/>
      <x:c r="K68" s="17" t="str">
        <x:v>69df6884b32b5a85b765aaa77e55d07b83815584ec00fecce77c298f7e30ee01</x:v>
      </x:c>
      <x:c r="L68" s="17"/>
      <x:c r="M68" s="17"/>
      <x:c r="N68" s="17"/>
    </x:row>
    <x:row r="69" ht="21" customHeight="1">
      <x:c r="A69" s="27" t="d">
        <x:v>2026-07-13T00:00:00.000Z</x:v>
      </x:c>
      <x:c r="B69" s="17" t="str">
        <x:v>EXTERNAL_FUNDING</x:v>
      </x:c>
      <x:c r="C69" s="22" t="n">
        <x:v>44</x:v>
      </x:c>
      <x:c r="D69" s="22" t="n">
        <x:v>132</x:v>
      </x:c>
      <x:c r="E69" s="22" t="n">
        <x:f>SUM($C$5:C69)</x:f>
        <x:v>132</x:v>
      </x:c>
      <x:c r="F69" s="29" t="n">
        <x:f>E69-D69</x:f>
        <x:v>0</x:v>
      </x:c>
      <x:c r="G69" s="17" t="str">
        <x:v>CASH_B</x:v>
      </x:c>
      <x:c r="H69" s="17" t="n">
        <x:v>43</x:v>
      </x:c>
      <x:c r="I69" s="25"/>
      <x:c r="J69" s="17"/>
      <x:c r="K69" s="17" t="str">
        <x:v>69df6884b32b5a85b765aaa77e55d07b83815584ec00fecce77c298f7e30ee01</x:v>
      </x:c>
      <x:c r="L69" s="17"/>
      <x:c r="M69" s="17"/>
      <x:c r="N69" s="17"/>
    </x:row>
    <x:row r="70" ht="21" customHeight="1">
      <x:c r="A70" s="27" t="d">
        <x:v>2026-07-22T00:00:00.000Z</x:v>
      </x:c>
      <x:c r="B70" s="17" t="str">
        <x:v>DIVIDEND_NET</x:v>
      </x:c>
      <x:c r="C70" s="22" t="n">
        <x:v>95000</x:v>
      </x:c>
      <x:c r="D70" s="22" t="n">
        <x:v>95132</x:v>
      </x:c>
      <x:c r="E70" s="22" t="n">
        <x:f>SUM($C$5:C70)</x:f>
        <x:v>95132</x:v>
      </x:c>
      <x:c r="F70" s="29" t="n">
        <x:f>E70-D70</x:f>
        <x:v>0</x:v>
      </x:c>
      <x:c r="G70" s="17" t="str">
        <x:v>CASH_B</x:v>
      </x:c>
      <x:c r="H70" s="17" t="n">
        <x:v>44</x:v>
      </x:c>
      <x:c r="I70" s="25"/>
      <x:c r="J70" s="17" t="str">
        <x:v>VRE</x:v>
      </x:c>
      <x:c r="K70" s="17" t="str">
        <x:v>69df6884b32b5a85b765aaa77e55d07b83815584ec00fecce77c298f7e30ee01</x:v>
      </x:c>
      <x:c r="L70" s="17"/>
      <x:c r="M70" s="17"/>
      <x:c r="N70" s="17"/>
    </x:row>
    <x:row r="71" ht="21" customHeight="1">
      <x:c r="A71" s="27" t="d">
        <x:v>2026-07-22T00:00:00.000Z</x:v>
      </x:c>
      <x:c r="B71" s="17" t="str">
        <x:v>DIVIDEND_NET</x:v>
      </x:c>
      <x:c r="C71" s="22" t="n">
        <x:v>570000</x:v>
      </x:c>
      <x:c r="D71" s="22" t="n">
        <x:v>665132</x:v>
      </x:c>
      <x:c r="E71" s="22" t="n">
        <x:f>SUM($C$5:C71)</x:f>
        <x:v>665132</x:v>
      </x:c>
      <x:c r="F71" s="29" t="n">
        <x:f>E71-D71</x:f>
        <x:v>0</x:v>
      </x:c>
      <x:c r="G71" s="17" t="str">
        <x:v>CASH_B</x:v>
      </x:c>
      <x:c r="H71" s="17" t="n">
        <x:v>45</x:v>
      </x:c>
      <x:c r="I71" s="25"/>
      <x:c r="J71" s="17" t="str">
        <x:v>VHM</x:v>
      </x:c>
      <x:c r="K71" s="17" t="str">
        <x:v>69df6884b32b5a85b765aaa77e55d07b83815584ec00fecce77c298f7e30ee01</x:v>
      </x:c>
      <x:c r="L71" s="17"/>
      <x:c r="M71" s="17"/>
      <x:c r="N71" s="17"/>
    </x:row>
    <x:row r="72" ht="21" customHeight="1">
      <x:c r="A72" s="27" t="d">
        <x:v>2026-07-30T00:00:00.000Z</x:v>
      </x:c>
      <x:c r="B72" s="17" t="str">
        <x:v>EXTERNAL_FUNDING</x:v>
      </x:c>
      <x:c r="C72" s="22" t="n">
        <x:v>6007205</x:v>
      </x:c>
      <x:c r="D72" s="22" t="n">
        <x:v>6672337</x:v>
      </x:c>
      <x:c r="E72" s="22" t="n">
        <x:f>SUM($C$5:C72)</x:f>
        <x:v>6672337</x:v>
      </x:c>
      <x:c r="F72" s="29" t="n">
        <x:f>E72-D72</x:f>
        <x:v>0</x:v>
      </x:c>
      <x:c r="G72" s="17" t="str">
        <x:v>CASH_B</x:v>
      </x:c>
      <x:c r="H72" s="17" t="n">
        <x:v>46</x:v>
      </x:c>
      <x:c r="I72" s="25"/>
      <x:c r="J72" s="17"/>
      <x:c r="K72" s="17" t="str">
        <x:v>69df6884b32b5a85b765aaa77e55d07b83815584ec00fecce77c298f7e30ee01</x:v>
      </x:c>
      <x:c r="L72" s="17"/>
      <x:c r="M72" s="17"/>
      <x:c r="N72" s="17"/>
    </x:row>
    <x:row r="73" ht="21" customHeight="1">
      <x:c r="A73" s="27" t="d">
        <x:v>2026-07-30T00:00:00.000Z</x:v>
      </x:c>
      <x:c r="B73" s="17" t="str">
        <x:v>BUY_PAYMENT</x:v>
      </x:c>
      <x:c r="C73" s="22" t="n">
        <x:v>-6670000</x:v>
      </x:c>
      <x:c r="D73" s="22" t="n">
        <x:v>2337</x:v>
      </x:c>
      <x:c r="E73" s="22" t="n">
        <x:f>SUM($C$5:C73)</x:f>
        <x:v>2337</x:v>
      </x:c>
      <x:c r="F73" s="29" t="n">
        <x:f>E73-D73</x:f>
        <x:v>0</x:v>
      </x:c>
      <x:c r="G73" s="17" t="str">
        <x:v>CASH_B</x:v>
      </x:c>
      <x:c r="H73" s="17" t="n">
        <x:v>47</x:v>
      </x:c>
      <x:c r="I73" s="25" t="d">
        <x:v>2026-07-30T00:00:00.000Z</x:v>
      </x:c>
      <x:c r="J73" s="17"/>
      <x:c r="K73" s="17" t="str">
        <x:v>69df6884b32b5a85b765aaa77e55d07b83815584ec00fecce77c298f7e30ee01</x:v>
      </x:c>
      <x:c r="L73" s="17"/>
      <x:c r="M73" s="17"/>
      <x:c r="N73" s="17"/>
    </x:row>
    <x:row r="74" ht="21" customHeight="1">
      <x:c r="A74" s="27" t="d">
        <x:v>2026-07-30T00:00:00.000Z</x:v>
      </x:c>
      <x:c r="B74" s="17" t="str">
        <x:v>BUY_FEE</x:v>
      </x:c>
      <x:c r="C74" s="22" t="n">
        <x:v>-2001</x:v>
      </x:c>
      <x:c r="D74" s="22" t="n">
        <x:v>336</x:v>
      </x:c>
      <x:c r="E74" s="22" t="n">
        <x:f>SUM($C$5:C74)</x:f>
        <x:v>336</x:v>
      </x:c>
      <x:c r="F74" s="29" t="n">
        <x:f>E74-D74</x:f>
        <x:v>0</x:v>
      </x:c>
      <x:c r="G74" s="17" t="str">
        <x:v>CASH_B</x:v>
      </x:c>
      <x:c r="H74" s="17" t="n">
        <x:v>48</x:v>
      </x:c>
      <x:c r="I74" s="25" t="d">
        <x:v>2026-07-30T00:00:00.000Z</x:v>
      </x:c>
      <x:c r="J74" s="17"/>
      <x:c r="K74" s="17" t="str">
        <x:v>69df6884b32b5a85b765aaa77e55d07b83815584ec00fecce77c298f7e30ee01</x:v>
      </x:c>
      <x:c r="L74" s="17"/>
      <x:c r="M74" s="17"/>
      <x:c r="N74" s="17"/>
    </x:row>
    <x:row r="75" ht="21" customHeight="1">
      <x:c r="A75" s="27" t="d">
        <x:v>2026-07-31T00:00:00.000Z</x:v>
      </x:c>
      <x:c r="B75" s="17" t="str">
        <x:v>INTEREST</x:v>
      </x:c>
      <x:c r="C75" s="22" t="n">
        <x:v>100</x:v>
      </x:c>
      <x:c r="D75" s="22" t="n">
        <x:v>436</x:v>
      </x:c>
      <x:c r="E75" s="22" t="n">
        <x:f>SUM($C$5:C75)</x:f>
        <x:v>436</x:v>
      </x:c>
      <x:c r="F75" s="29" t="n">
        <x:f>E75-D75</x:f>
        <x:v>0</x:v>
      </x:c>
      <x:c r="G75" s="17" t="str">
        <x:v>CASH_B</x:v>
      </x:c>
      <x:c r="H75" s="17" t="n">
        <x:v>49</x:v>
      </x:c>
      <x:c r="I75" s="25"/>
      <x:c r="J75" s="17"/>
      <x:c r="K75" s="17" t="str">
        <x:v>69df6884b32b5a85b765aaa77e55d07b83815584ec00fecce77c298f7e30ee01</x:v>
      </x:c>
      <x:c r="L75" s="17"/>
      <x:c r="M75" s="17"/>
      <x:c r="N75" s="17"/>
    </x:row>
    <x:row r="76" ht="21" customHeight="1">
      <x:c r="A76" s="27" t="d">
        <x:v>2026-07-31T00:00:00.000Z</x:v>
      </x:c>
      <x:c r="B76" s="17" t="str">
        <x:v>CUSTODY</x:v>
      </x:c>
      <x:c r="C76" s="22" t="n">
        <x:v>-360</x:v>
      </x:c>
      <x:c r="D76" s="22" t="n">
        <x:v>76</x:v>
      </x:c>
      <x:c r="E76" s="22" t="n">
        <x:f>SUM($C$5:C76)</x:f>
        <x:v>76</x:v>
      </x:c>
      <x:c r="F76" s="29" t="n">
        <x:f>E76-D76</x:f>
        <x:v>0</x:v>
      </x:c>
      <x:c r="G76" s="17" t="str">
        <x:v>CASH_B</x:v>
      </x:c>
      <x:c r="H76" s="17" t="n">
        <x:v>50</x:v>
      </x:c>
      <x:c r="I76" s="25"/>
      <x:c r="J76" s="17"/>
      <x:c r="K76" s="17" t="str">
        <x:v>69df6884b32b5a85b765aaa77e55d07b83815584ec00fecce77c298f7e30ee01</x:v>
      </x:c>
      <x:c r="L76" s="17"/>
      <x:c r="M76" s="17"/>
      <x:c r="N76" s="17"/>
    </x:row>
    <x:row r="77" ht="21" customHeight="1">
      <x:c r="A77" s="27" t="d">
        <x:v>2026-08-04T00:00:00.000Z</x:v>
      </x:c>
      <x:c r="B77" s="17" t="str">
        <x:v>EXTERNAL_FUNDING</x:v>
      </x:c>
      <x:c r="C77" s="22" t="n">
        <x:v>2440693</x:v>
      </x:c>
      <x:c r="D77" s="22" t="n">
        <x:v>2440769</x:v>
      </x:c>
      <x:c r="E77" s="22" t="n">
        <x:f>SUM($C$5:C77)</x:f>
        <x:v>2440769</x:v>
      </x:c>
      <x:c r="F77" s="29" t="n">
        <x:f>E77-D77</x:f>
        <x:v>0</x:v>
      </x:c>
      <x:c r="G77" s="17" t="str">
        <x:v>CASH_B</x:v>
      </x:c>
      <x:c r="H77" s="17" t="n">
        <x:v>51</x:v>
      </x:c>
      <x:c r="I77" s="25"/>
      <x:c r="J77" s="17"/>
      <x:c r="K77" s="17" t="str">
        <x:v>69df6884b32b5a85b765aaa77e55d07b83815584ec00fecce77c298f7e30ee01</x:v>
      </x:c>
      <x:c r="L77" s="17"/>
      <x:c r="M77" s="17"/>
      <x:c r="N77" s="17"/>
    </x:row>
    <x:row r="78" ht="21" customHeight="1">
      <x:c r="A78" s="27" t="d">
        <x:v>2026-08-04T00:00:00.000Z</x:v>
      </x:c>
      <x:c r="B78" s="17" t="str">
        <x:v>BUY_PAYMENT</x:v>
      </x:c>
      <x:c r="C78" s="22" t="n">
        <x:v>-2440000</x:v>
      </x:c>
      <x:c r="D78" s="22" t="n">
        <x:v>769</x:v>
      </x:c>
      <x:c r="E78" s="22" t="n">
        <x:f>SUM($C$5:C78)</x:f>
        <x:v>769</x:v>
      </x:c>
      <x:c r="F78" s="29" t="n">
        <x:f>E78-D78</x:f>
        <x:v>0</x:v>
      </x:c>
      <x:c r="G78" s="17" t="str">
        <x:v>CASH_B</x:v>
      </x:c>
      <x:c r="H78" s="17" t="n">
        <x:v>52</x:v>
      </x:c>
      <x:c r="I78" s="25" t="d">
        <x:v>2026-08-04T00:00:00.000Z</x:v>
      </x:c>
      <x:c r="J78" s="17"/>
      <x:c r="K78" s="17" t="str">
        <x:v>69df6884b32b5a85b765aaa77e55d07b83815584ec00fecce77c298f7e30ee01</x:v>
      </x:c>
      <x:c r="L78" s="17"/>
      <x:c r="M78" s="17"/>
      <x:c r="N78" s="17"/>
    </x:row>
    <x:row r="79" ht="21" customHeight="1">
      <x:c r="A79" s="27" t="d">
        <x:v>2026-08-04T00:00:00.000Z</x:v>
      </x:c>
      <x:c r="B79" s="17" t="str">
        <x:v>BUY_FEE</x:v>
      </x:c>
      <x:c r="C79" s="22" t="n">
        <x:v>-732</x:v>
      </x:c>
      <x:c r="D79" s="22" t="n">
        <x:v>37</x:v>
      </x:c>
      <x:c r="E79" s="22" t="n">
        <x:f>SUM($C$5:C79)</x:f>
        <x:v>37</x:v>
      </x:c>
      <x:c r="F79" s="29" t="n">
        <x:f>E79-D79</x:f>
        <x:v>0</x:v>
      </x:c>
      <x:c r="G79" s="17" t="str">
        <x:v>CASH_B</x:v>
      </x:c>
      <x:c r="H79" s="17" t="n">
        <x:v>53</x:v>
      </x:c>
      <x:c r="I79" s="25" t="d">
        <x:v>2026-08-04T00:00:00.000Z</x:v>
      </x:c>
      <x:c r="J79" s="17"/>
      <x:c r="K79" s="17" t="str">
        <x:v>69df6884b32b5a85b765aaa77e55d07b83815584ec00fecce77c298f7e30ee01</x:v>
      </x:c>
      <x:c r="L79" s="17"/>
      <x:c r="M79" s="17"/>
      <x:c r="N79" s="17"/>
    </x:row>
    <x:row r="80" ht="21" customHeight="1">
      <x:c r="A80" s="27" t="d">
        <x:v>2026-08-05T00:00:00.000Z</x:v>
      </x:c>
      <x:c r="B80" s="17" t="str">
        <x:v>SELL_RECEIPT</x:v>
      </x:c>
      <x:c r="C80" s="22" t="n">
        <x:v>1460000</x:v>
      </x:c>
      <x:c r="D80" s="22" t="n">
        <x:v>1460037</x:v>
      </x:c>
      <x:c r="E80" s="22" t="n">
        <x:f>SUM($C$5:C80)</x:f>
        <x:v>1460037</x:v>
      </x:c>
      <x:c r="F80" s="29" t="n">
        <x:f>E80-D80</x:f>
        <x:v>0</x:v>
      </x:c>
      <x:c r="G80" s="17" t="str">
        <x:v>CASH_B</x:v>
      </x:c>
      <x:c r="H80" s="17" t="n">
        <x:v>54</x:v>
      </x:c>
      <x:c r="I80" s="25" t="d">
        <x:v>2026-08-03T00:00:00.000Z</x:v>
      </x:c>
      <x:c r="J80" s="17"/>
      <x:c r="K80" s="17" t="str">
        <x:v>69df6884b32b5a85b765aaa77e55d07b83815584ec00fecce77c298f7e30ee01</x:v>
      </x:c>
      <x:c r="L80" s="17"/>
      <x:c r="M80" s="17"/>
      <x:c r="N80" s="17"/>
    </x:row>
    <x:row r="81" ht="21" customHeight="1">
      <x:c r="A81" s="27" t="d">
        <x:v>2026-08-05T00:00:00.000Z</x:v>
      </x:c>
      <x:c r="B81" s="17" t="str">
        <x:v>SELL_FEE</x:v>
      </x:c>
      <x:c r="C81" s="22" t="n">
        <x:v>-438</x:v>
      </x:c>
      <x:c r="D81" s="22" t="n">
        <x:v>1459599</x:v>
      </x:c>
      <x:c r="E81" s="22" t="n">
        <x:f>SUM($C$5:C81)</x:f>
        <x:v>1459599</x:v>
      </x:c>
      <x:c r="F81" s="29" t="n">
        <x:f>E81-D81</x:f>
        <x:v>0</x:v>
      </x:c>
      <x:c r="G81" s="17" t="str">
        <x:v>CASH_B</x:v>
      </x:c>
      <x:c r="H81" s="17" t="n">
        <x:v>55</x:v>
      </x:c>
      <x:c r="I81" s="25" t="d">
        <x:v>2026-08-03T00:00:00.000Z</x:v>
      </x:c>
      <x:c r="J81" s="17"/>
      <x:c r="K81" s="17" t="str">
        <x:v>69df6884b32b5a85b765aaa77e55d07b83815584ec00fecce77c298f7e30ee01</x:v>
      </x:c>
      <x:c r="L81" s="17"/>
      <x:c r="M81" s="17"/>
      <x:c r="N81" s="17"/>
    </x:row>
    <x:row r="82" ht="21" customHeight="1">
      <x:c r="A82" s="27" t="d">
        <x:v>2026-08-05T00:00:00.000Z</x:v>
      </x:c>
      <x:c r="B82" s="17" t="str">
        <x:v>SALE_TAX</x:v>
      </x:c>
      <x:c r="C82" s="22" t="n">
        <x:v>-1460</x:v>
      </x:c>
      <x:c r="D82" s="22" t="n">
        <x:v>1458139</x:v>
      </x:c>
      <x:c r="E82" s="22" t="n">
        <x:f>SUM($C$5:C82)</x:f>
        <x:v>1458139</x:v>
      </x:c>
      <x:c r="F82" s="29" t="n">
        <x:f>E82-D82</x:f>
        <x:v>0</x:v>
      </x:c>
      <x:c r="G82" s="17" t="str">
        <x:v>CASH_B</x:v>
      </x:c>
      <x:c r="H82" s="17" t="n">
        <x:v>56</x:v>
      </x:c>
      <x:c r="I82" s="25" t="d">
        <x:v>2026-08-03T00:00:00.000Z</x:v>
      </x:c>
      <x:c r="J82" s="17" t="str">
        <x:v>TPB</x:v>
      </x:c>
      <x:c r="K82" s="17" t="str">
        <x:v>69df6884b32b5a85b765aaa77e55d07b83815584ec00fecce77c298f7e30ee01</x:v>
      </x:c>
      <x:c r="L82" s="17"/>
      <x:c r="M82" s="17"/>
      <x:c r="N82" s="17"/>
    </x:row>
    <x:row r="83" ht="21" customHeight="1">
      <x:c r="A83" s="27" t="d">
        <x:v>2026-08-05T00:00:00.000Z</x:v>
      </x:c>
      <x:c r="B83" s="17" t="str">
        <x:v>SALE_TAX</x:v>
      </x:c>
      <x:c r="C83" s="22" t="n">
        <x:v>-2500</x:v>
      </x:c>
      <x:c r="D83" s="22" t="n">
        <x:v>1455639</x:v>
      </x:c>
      <x:c r="E83" s="22" t="n">
        <x:f>SUM($C$5:C83)</x:f>
        <x:v>1455639</x:v>
      </x:c>
      <x:c r="F83" s="29" t="n">
        <x:f>E83-D83</x:f>
        <x:v>0</x:v>
      </x:c>
      <x:c r="G83" s="17" t="str">
        <x:v>CASH_B</x:v>
      </x:c>
      <x:c r="H83" s="17" t="n">
        <x:v>57</x:v>
      </x:c>
      <x:c r="I83" s="25" t="d">
        <x:v>2026-08-03T00:00:00.000Z</x:v>
      </x:c>
      <x:c r="J83" s="17" t="str">
        <x:v>TPB</x:v>
      </x:c>
      <x:c r="K83" s="17" t="str">
        <x:v>69df6884b32b5a85b765aaa77e55d07b83815584ec00fecce77c298f7e30ee01</x:v>
      </x:c>
      <x:c r="L83" s="17"/>
      <x:c r="M83" s="17"/>
      <x:c r="N83" s="17"/>
    </x:row>
    <x:row r="84" ht="21" customHeight="1">
      <x:c r="A84" s="27" t="d">
        <x:v>2026-08-06T00:00:00.000Z</x:v>
      </x:c>
      <x:c r="B84" s="17" t="str">
        <x:v>SELL_RECEIPT</x:v>
      </x:c>
      <x:c r="C84" s="22" t="n">
        <x:v>72000</x:v>
      </x:c>
      <x:c r="D84" s="22" t="n">
        <x:v>1527639</x:v>
      </x:c>
      <x:c r="E84" s="22" t="n">
        <x:f>SUM($C$5:C84)</x:f>
        <x:v>1527639</x:v>
      </x:c>
      <x:c r="F84" s="29" t="n">
        <x:f>E84-D84</x:f>
        <x:v>0</x:v>
      </x:c>
      <x:c r="G84" s="17" t="str">
        <x:v>CASH_B</x:v>
      </x:c>
      <x:c r="H84" s="17" t="n">
        <x:v>58</x:v>
      </x:c>
      <x:c r="I84" s="25" t="d">
        <x:v>2026-08-04T00:00:00.000Z</x:v>
      </x:c>
      <x:c r="J84" s="17"/>
      <x:c r="K84" s="17" t="str">
        <x:v>69df6884b32b5a85b765aaa77e55d07b83815584ec00fecce77c298f7e30ee01</x:v>
      </x:c>
      <x:c r="L84" s="17"/>
      <x:c r="M84" s="17"/>
      <x:c r="N84" s="17"/>
    </x:row>
    <x:row r="85" ht="21" customHeight="1">
      <x:c r="A85" s="27" t="d">
        <x:v>2026-08-06T00:00:00.000Z</x:v>
      </x:c>
      <x:c r="B85" s="17" t="str">
        <x:v>SELL_FEE</x:v>
      </x:c>
      <x:c r="C85" s="22" t="n">
        <x:v>-21</x:v>
      </x:c>
      <x:c r="D85" s="22" t="n">
        <x:v>1527618</x:v>
      </x:c>
      <x:c r="E85" s="22" t="n">
        <x:f>SUM($C$5:C85)</x:f>
        <x:v>1527618</x:v>
      </x:c>
      <x:c r="F85" s="29" t="n">
        <x:f>E85-D85</x:f>
        <x:v>0</x:v>
      </x:c>
      <x:c r="G85" s="17" t="str">
        <x:v>CASH_B</x:v>
      </x:c>
      <x:c r="H85" s="17" t="n">
        <x:v>59</x:v>
      </x:c>
      <x:c r="I85" s="25" t="d">
        <x:v>2026-08-04T00:00:00.000Z</x:v>
      </x:c>
      <x:c r="J85" s="17"/>
      <x:c r="K85" s="17" t="str">
        <x:v>69df6884b32b5a85b765aaa77e55d07b83815584ec00fecce77c298f7e30ee01</x:v>
      </x:c>
      <x:c r="L85" s="17"/>
      <x:c r="M85" s="17"/>
      <x:c r="N85" s="17"/>
    </x:row>
    <x:row r="86" ht="21" customHeight="1">
      <x:c r="A86" s="27" t="d">
        <x:v>2026-08-06T00:00:00.000Z</x:v>
      </x:c>
      <x:c r="B86" s="17" t="str">
        <x:v>SALE_TAX</x:v>
      </x:c>
      <x:c r="C86" s="22" t="n">
        <x:v>-72</x:v>
      </x:c>
      <x:c r="D86" s="22" t="n">
        <x:v>1527546</x:v>
      </x:c>
      <x:c r="E86" s="22" t="n">
        <x:f>SUM($C$5:C86)</x:f>
        <x:v>1527546</x:v>
      </x:c>
      <x:c r="F86" s="29" t="n">
        <x:f>E86-D86</x:f>
        <x:v>0</x:v>
      </x:c>
      <x:c r="G86" s="17" t="str">
        <x:v>CASH_B</x:v>
      </x:c>
      <x:c r="H86" s="17" t="n">
        <x:v>60</x:v>
      </x:c>
      <x:c r="I86" s="25" t="d">
        <x:v>2026-08-04T00:00:00.000Z</x:v>
      </x:c>
      <x:c r="J86" s="17" t="str">
        <x:v>TPB</x:v>
      </x:c>
      <x:c r="K86" s="17" t="str">
        <x:v>69df6884b32b5a85b765aaa77e55d07b83815584ec00fecce77c298f7e30ee01</x:v>
      </x:c>
      <x:c r="L86" s="17"/>
      <x:c r="M86" s="17"/>
      <x:c r="N86" s="17"/>
    </x:row>
    <x:row r="87" ht="21" customHeight="1">
      <x:c r="A87" s="27" t="d">
        <x:v>2026-08-06T00:00:00.000Z</x:v>
      </x:c>
      <x:c r="B87" s="17" t="str">
        <x:v>DIVIDEND_NET</x:v>
      </x:c>
      <x:c r="C87" s="22" t="n">
        <x:v>95000</x:v>
      </x:c>
      <x:c r="D87" s="22" t="n">
        <x:v>1622546</x:v>
      </x:c>
      <x:c r="E87" s="22" t="n">
        <x:f>SUM($C$5:C87)</x:f>
        <x:v>1622546</x:v>
      </x:c>
      <x:c r="F87" s="29" t="n">
        <x:f>E87-D87</x:f>
        <x:v>0</x:v>
      </x:c>
      <x:c r="G87" s="17" t="str">
        <x:v>CASH_B</x:v>
      </x:c>
      <x:c r="H87" s="17" t="n">
        <x:v>61</x:v>
      </x:c>
      <x:c r="I87" s="25"/>
      <x:c r="J87" s="17" t="str">
        <x:v>MWG</x:v>
      </x:c>
      <x:c r="K87" s="17" t="str">
        <x:v>69df6884b32b5a85b765aaa77e55d07b83815584ec00fecce77c298f7e30ee01</x:v>
      </x:c>
      <x:c r="L87" s="17"/>
      <x:c r="M87" s="17"/>
      <x:c r="N87" s="17"/>
    </x:row>
    <x:row r="88" ht="21" customHeight="1">
      <x:c r="A88" s="27" t="d">
        <x:v>2026-08-17T00:00:00.000Z</x:v>
      </x:c>
      <x:c r="B88" s="17" t="str">
        <x:v>EXTERNAL_FUNDING</x:v>
      </x:c>
      <x:c r="C88" s="22" t="n">
        <x:v>388262</x:v>
      </x:c>
      <x:c r="D88" s="22" t="n">
        <x:v>2010808</x:v>
      </x:c>
      <x:c r="E88" s="22" t="n">
        <x:f>SUM($C$5:C88)</x:f>
        <x:v>2010808</x:v>
      </x:c>
      <x:c r="F88" s="29" t="n">
        <x:f>E88-D88</x:f>
        <x:v>0</x:v>
      </x:c>
      <x:c r="G88" s="17" t="str">
        <x:v>CASH_B</x:v>
      </x:c>
      <x:c r="H88" s="17" t="n">
        <x:v>62</x:v>
      </x:c>
      <x:c r="I88" s="25"/>
      <x:c r="J88" s="17"/>
      <x:c r="K88" s="17" t="str">
        <x:v>69df6884b32b5a85b765aaa77e55d07b83815584ec00fecce77c298f7e30ee01</x:v>
      </x:c>
      <x:c r="L88" s="17"/>
      <x:c r="M88" s="17"/>
      <x:c r="N88" s="17"/>
    </x:row>
    <x:row r="89" ht="21" customHeight="1">
      <x:c r="A89" s="27" t="d">
        <x:v>2026-08-17T00:00:00.000Z</x:v>
      </x:c>
      <x:c r="B89" s="17" t="str">
        <x:v>BUY_PAYMENT</x:v>
      </x:c>
      <x:c r="C89" s="22" t="n">
        <x:v>-2010000</x:v>
      </x:c>
      <x:c r="D89" s="22" t="n">
        <x:v>808</x:v>
      </x:c>
      <x:c r="E89" s="22" t="n">
        <x:f>SUM($C$5:C89)</x:f>
        <x:v>808</x:v>
      </x:c>
      <x:c r="F89" s="29" t="n">
        <x:f>E89-D89</x:f>
        <x:v>0</x:v>
      </x:c>
      <x:c r="G89" s="17" t="str">
        <x:v>CASH_B</x:v>
      </x:c>
      <x:c r="H89" s="17" t="n">
        <x:v>63</x:v>
      </x:c>
      <x:c r="I89" s="25" t="d">
        <x:v>2026-08-17T00:00:00.000Z</x:v>
      </x:c>
      <x:c r="J89" s="17"/>
      <x:c r="K89" s="17" t="str">
        <x:v>69df6884b32b5a85b765aaa77e55d07b83815584ec00fecce77c298f7e30ee01</x:v>
      </x:c>
      <x:c r="L89" s="17"/>
      <x:c r="M89" s="17"/>
      <x:c r="N89" s="17"/>
    </x:row>
    <x:row r="90" ht="21" customHeight="1">
      <x:c r="A90" s="27" t="d">
        <x:v>2026-08-17T00:00:00.000Z</x:v>
      </x:c>
      <x:c r="B90" s="17" t="str">
        <x:v>BUY_FEE</x:v>
      </x:c>
      <x:c r="C90" s="22" t="n">
        <x:v>-603</x:v>
      </x:c>
      <x:c r="D90" s="22" t="n">
        <x:v>205</x:v>
      </x:c>
      <x:c r="E90" s="22" t="n">
        <x:f>SUM($C$5:C90)</x:f>
        <x:v>205</x:v>
      </x:c>
      <x:c r="F90" s="29" t="n">
        <x:f>E90-D90</x:f>
        <x:v>0</x:v>
      </x:c>
      <x:c r="G90" s="17" t="str">
        <x:v>CASH_B</x:v>
      </x:c>
      <x:c r="H90" s="17" t="n">
        <x:v>64</x:v>
      </x:c>
      <x:c r="I90" s="25" t="d">
        <x:v>2026-08-17T00:00:00.000Z</x:v>
      </x:c>
      <x:c r="J90" s="17"/>
      <x:c r="K90" s="17" t="str">
        <x:v>69df6884b32b5a85b765aaa77e55d07b83815584ec00fecce77c298f7e30ee01</x:v>
      </x:c>
      <x:c r="L90" s="17"/>
      <x:c r="M90" s="17"/>
      <x:c r="N90" s="17"/>
    </x:row>
    <x:row r="91" ht="21" customHeight="1">
      <x:c r="A91" s="27" t="d">
        <x:v>2026-08-27T00:00:00.000Z</x:v>
      </x:c>
      <x:c r="B91" s="17" t="str">
        <x:v>DIVIDEND_NET</x:v>
      </x:c>
      <x:c r="C91" s="22" t="n">
        <x:v>42750</x:v>
      </x:c>
      <x:c r="D91" s="22" t="n">
        <x:v>42955</x:v>
      </x:c>
      <x:c r="E91" s="22" t="n">
        <x:f>SUM($C$5:C91)</x:f>
        <x:v>42955</x:v>
      </x:c>
      <x:c r="F91" s="29" t="n">
        <x:f>E91-D91</x:f>
        <x:v>0</x:v>
      </x:c>
      <x:c r="G91" s="17" t="str">
        <x:v>CASH_B</x:v>
      </x:c>
      <x:c r="H91" s="17" t="n">
        <x:v>65</x:v>
      </x:c>
      <x:c r="I91" s="25"/>
      <x:c r="J91" s="17" t="str">
        <x:v>VCB</x:v>
      </x:c>
      <x:c r="K91" s="17" t="str">
        <x:v>69df6884b32b5a85b765aaa77e55d07b83815584ec00fecce77c298f7e30ee01</x:v>
      </x:c>
      <x:c r="L91" s="17"/>
      <x:c r="M91" s="17"/>
      <x:c r="N91" s="17"/>
    </x:row>
    <x:row r="92" ht="21" customHeight="1">
      <x:c r="A92" s="27" t="d">
        <x:v>2026-08-28T00:00:00.000Z</x:v>
      </x:c>
      <x:c r="B92" s="17" t="str">
        <x:v>INTEREST</x:v>
      </x:c>
      <x:c r="C92" s="22" t="n">
        <x:v>272</x:v>
      </x:c>
      <x:c r="D92" s="22" t="n">
        <x:v>43227</x:v>
      </x:c>
      <x:c r="E92" s="22" t="n">
        <x:f>SUM($C$5:C92)</x:f>
        <x:v>43227</x:v>
      </x:c>
      <x:c r="F92" s="29" t="n">
        <x:f>E92-D92</x:f>
        <x:v>0</x:v>
      </x:c>
      <x:c r="G92" s="17" t="str">
        <x:v>CASH_B</x:v>
      </x:c>
      <x:c r="H92" s="17" t="n">
        <x:v>66</x:v>
      </x:c>
      <x:c r="I92" s="25"/>
      <x:c r="J92" s="17"/>
      <x:c r="K92" s="17" t="str">
        <x:v>69df6884b32b5a85b765aaa77e55d07b83815584ec00fecce77c298f7e30ee01</x:v>
      </x:c>
      <x:c r="L92" s="17"/>
      <x:c r="M92" s="17"/>
      <x:c r="N92" s="17"/>
    </x:row>
    <x:row r="93" ht="21" customHeight="1">
      <x:c r="A93" s="27" t="d">
        <x:v>2026-08-28T00:00:00.000Z</x:v>
      </x:c>
      <x:c r="B93" s="17" t="str">
        <x:v>CUSTODY</x:v>
      </x:c>
      <x:c r="C93" s="22" t="n">
        <x:v>-420</x:v>
      </x:c>
      <x:c r="D93" s="22" t="n">
        <x:v>42807</x:v>
      </x:c>
      <x:c r="E93" s="22" t="n">
        <x:f>SUM($C$5:C93)</x:f>
        <x:v>42807</x:v>
      </x:c>
      <x:c r="F93" s="29" t="n">
        <x:f>E93-D93</x:f>
        <x:v>0</x:v>
      </x:c>
      <x:c r="G93" s="17" t="str">
        <x:v>CASH_B</x:v>
      </x:c>
      <x:c r="H93" s="17" t="n">
        <x:v>67</x:v>
      </x:c>
      <x:c r="I93" s="25"/>
      <x:c r="J93" s="17"/>
      <x:c r="K93" s="17" t="str">
        <x:v>69df6884b32b5a85b765aaa77e55d07b83815584ec00fecce77c298f7e30ee01</x:v>
      </x:c>
      <x:c r="L93" s="17"/>
      <x:c r="M93" s="17"/>
      <x:c r="N93" s="17"/>
    </x:row>
    <x:row r="94" ht="21" customHeight="1">
      <x:c r="A94" s="27" t="d">
        <x:v>2026-09-14T00:00:00.000Z</x:v>
      </x:c>
      <x:c r="B94" s="17" t="str">
        <x:v>DIVIDEND_NET</x:v>
      </x:c>
      <x:c r="C94" s="22" t="n">
        <x:v>190000</x:v>
      </x:c>
      <x:c r="D94" s="22" t="n">
        <x:v>232807</x:v>
      </x:c>
      <x:c r="E94" s="22" t="n">
        <x:f>SUM($C$5:C94)</x:f>
        <x:v>232807</x:v>
      </x:c>
      <x:c r="F94" s="29" t="n">
        <x:f>E94-D94</x:f>
        <x:v>0</x:v>
      </x:c>
      <x:c r="G94" s="17" t="str">
        <x:v>CASH_B</x:v>
      </x:c>
      <x:c r="H94" s="17" t="n">
        <x:v>68</x:v>
      </x:c>
      <x:c r="I94" s="25"/>
      <x:c r="J94" s="17" t="str">
        <x:v>SSI</x:v>
      </x:c>
      <x:c r="K94" s="17" t="str">
        <x:v>69df6884b32b5a85b765aaa77e55d07b83815584ec00fecce77c298f7e30ee01</x:v>
      </x:c>
      <x:c r="L94" s="17"/>
      <x:c r="M94" s="17"/>
      <x:c r="N94" s="17"/>
    </x:row>
    <x:row r="95" ht="21" customHeight="1">
      <x:c r="A95" s="27" t="d">
        <x:v>2026-09-30T00:00:00.000Z</x:v>
      </x:c>
      <x:c r="B95" s="17" t="str">
        <x:v>INTEREST</x:v>
      </x:c>
      <x:c r="C95" s="22" t="n">
        <x:v>63</x:v>
      </x:c>
      <x:c r="D95" s="22" t="n">
        <x:v>232870</x:v>
      </x:c>
      <x:c r="E95" s="22" t="n">
        <x:f>SUM($C$5:C95)</x:f>
        <x:v>232870</x:v>
      </x:c>
      <x:c r="F95" s="29" t="n">
        <x:f>E95-D95</x:f>
        <x:v>0</x:v>
      </x:c>
      <x:c r="G95" s="17" t="str">
        <x:v>CASH_B</x:v>
      </x:c>
      <x:c r="H95" s="17" t="n">
        <x:v>69</x:v>
      </x:c>
      <x:c r="I95" s="25"/>
      <x:c r="J95" s="17"/>
      <x:c r="K95" s="17" t="str">
        <x:v>69df6884b32b5a85b765aaa77e55d07b83815584ec00fecce77c298f7e30ee01</x:v>
      </x:c>
      <x:c r="L95" s="17"/>
      <x:c r="M95" s="17"/>
      <x:c r="N95" s="17"/>
    </x:row>
    <x:row r="96" ht="21" customHeight="1">
      <x:c r="A96" s="27" t="d">
        <x:v>2026-09-30T00:00:00.000Z</x:v>
      </x:c>
      <x:c r="B96" s="17" t="str">
        <x:v>CUSTODY</x:v>
      </x:c>
      <x:c r="C96" s="22" t="n">
        <x:v>-450</x:v>
      </x:c>
      <x:c r="D96" s="22" t="n">
        <x:v>232420</x:v>
      </x:c>
      <x:c r="E96" s="22" t="n">
        <x:f>SUM($C$5:C96)</x:f>
        <x:v>232420</x:v>
      </x:c>
      <x:c r="F96" s="29" t="n">
        <x:f>E96-D96</x:f>
        <x:v>0</x:v>
      </x:c>
      <x:c r="G96" s="17" t="str">
        <x:v>CASH_B</x:v>
      </x:c>
      <x:c r="H96" s="17" t="n">
        <x:v>70</x:v>
      </x:c>
      <x:c r="I96" s="25"/>
      <x:c r="J96" s="17"/>
      <x:c r="K96" s="17" t="str">
        <x:v>69df6884b32b5a85b765aaa77e55d07b83815584ec00fecce77c298f7e30ee01</x:v>
      </x:c>
      <x:c r="L96" s="17"/>
      <x:c r="M96" s="17"/>
      <x:c r="N96" s="17"/>
    </x:row>
    <x:row r="97" ht="21" customHeight="1">
      <x:c r="A97" s="27" t="d">
        <x:v>2026-10-16T00:00:00.000Z</x:v>
      </x:c>
      <x:c r="B97" s="17" t="str">
        <x:v>DIVIDEND_NET</x:v>
      </x:c>
      <x:c r="C97" s="22" t="n">
        <x:v>95000</x:v>
      </x:c>
      <x:c r="D97" s="22" t="n">
        <x:v>327420</x:v>
      </x:c>
      <x:c r="E97" s="22" t="n">
        <x:f>SUM($C$5:C97)</x:f>
        <x:v>327420</x:v>
      </x:c>
      <x:c r="F97" s="29" t="n">
        <x:f>E97-D97</x:f>
        <x:v>0</x:v>
      </x:c>
      <x:c r="G97" s="17" t="str">
        <x:v>CASH_B</x:v>
      </x:c>
      <x:c r="H97" s="17" t="n">
        <x:v>71</x:v>
      </x:c>
      <x:c r="I97" s="25"/>
      <x:c r="J97" s="17" t="str">
        <x:v>MWG</x:v>
      </x:c>
      <x:c r="K97" s="17" t="str">
        <x:v>69df6884b32b5a85b765aaa77e55d07b83815584ec00fecce77c298f7e30ee01</x:v>
      </x:c>
      <x:c r="L97" s="17"/>
      <x:c r="M97" s="17"/>
      <x:c r="N97" s="17"/>
    </x:row>
    <x:row r="98" ht="21" customHeight="1">
      <x:c r="A98" s="28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</x:row>
    <x:row r="99" ht="21" customHeight="1">
      <x:c r="A99" s="28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</x:row>
    <x:row r="100" ht="21" customHeight="1">
      <x:c r="A100" s="28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</x:row>
    <x:row r="101" ht="21" customHeight="1">
      <x:c r="A101" s="28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</x:row>
    <x:row r="102" ht="21" customHeight="1">
      <x:c r="A102" s="28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</x:row>
    <x:row r="103" ht="21" customHeight="1">
      <x:c r="A103" s="28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</x:row>
    <x:row r="104" ht="21" customHeight="1">
      <x:c r="A104" s="28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</x:row>
    <x:row r="105" ht="21" customHeight="1">
      <x:c r="A105" s="28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</x:row>
    <x:row r="106" ht="21" customHeight="1">
      <x:c r="A106" s="28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</x:row>
    <x:row r="107" ht="21" customHeight="1">
      <x:c r="A107" s="28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</x:row>
    <x:row r="108" ht="21" customHeight="1">
      <x:c r="A108" s="28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</x:row>
    <x:row r="109" ht="21" customHeight="1">
      <x:c r="A109" s="28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</x:row>
    <x:row r="110" ht="21" customHeight="1">
      <x:c r="A110" s="28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</x:row>
    <x:row r="111" ht="21" customHeight="1">
      <x:c r="A111" s="28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</x:row>
    <x:row r="112" ht="21" customHeight="1">
      <x:c r="A112" s="28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</x:row>
    <x:row r="113" ht="21" customHeight="1">
      <x:c r="A113" s="28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</x:row>
    <x:row r="114" ht="21" customHeight="1">
      <x:c r="A114" s="28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</x:row>
    <x:row r="115" ht="21" customHeight="1">
      <x:c r="A115" s="28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</x:row>
    <x:row r="116" ht="21" customHeight="1">
      <x:c r="A116" s="28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</x:row>
    <x:row r="117" ht="21" customHeight="1">
      <x:c r="A117" s="28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</x:row>
    <x:row r="118" ht="21" customHeight="1">
      <x:c r="A118" s="28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</x:row>
    <x:row r="119" ht="21" customHeight="1">
      <x:c r="A119" s="28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</x:row>
    <x:row r="120" ht="21" customHeight="1">
      <x:c r="A120" s="28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</x:row>
    <x:row r="121" ht="21" customHeight="1">
      <x:c r="A121" s="28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</x:row>
    <x:row r="122" ht="21" customHeight="1">
      <x:c r="A122" s="28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</x:row>
    <x:row r="123" ht="21" customHeight="1">
      <x:c r="A123" s="28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</x:row>
    <x:row r="124" ht="21" customHeight="1">
      <x:c r="A124" s="28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</x:row>
    <x:row r="125" ht="21" customHeight="1">
      <x:c r="A125" s="28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</x:row>
    <x:row r="126" ht="21" customHeight="1">
      <x:c r="A126" s="28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</x:row>
    <x:row r="127" ht="21" customHeight="1">
      <x:c r="A127" s="28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</x:row>
    <x:row r="128" ht="21" customHeight="1">
      <x:c r="A128" s="28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</x:row>
    <x:row r="129" ht="21" customHeight="1">
      <x:c r="A129" s="28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</x:row>
    <x:row r="130" ht="21" customHeight="1">
      <x:c r="A130" s="28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</x:row>
    <x:row r="131" ht="21" customHeight="1">
      <x:c r="A131" s="28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</x:row>
    <x:row r="132" ht="21" customHeight="1">
      <x:c r="A132" s="28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</x:row>
    <x:row r="133" ht="21" customHeight="1">
      <x:c r="A133" s="28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</x:row>
    <x:row r="134" ht="21" customHeight="1">
      <x:c r="A134" s="28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</x:row>
    <x:row r="135" ht="21" customHeight="1">
      <x:c r="A135" s="28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</x:row>
    <x:row r="136" ht="21" customHeight="1">
      <x:c r="A136" s="28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</x:row>
    <x:row r="137" ht="21" customHeight="1">
      <x:c r="A137" s="28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</x:row>
    <x:row r="138" ht="21" customHeight="1">
      <x:c r="A138" s="28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</x:row>
    <x:row r="139" ht="21" customHeight="1">
      <x:c r="A139" s="28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</x:row>
    <x:row r="140" ht="21" customHeight="1">
      <x:c r="A140" s="28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</x:row>
    <x:row r="141" ht="21" customHeight="1">
      <x:c r="A141" s="28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</x:row>
    <x:row r="142" ht="21" customHeight="1">
      <x:c r="A142" s="28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</x:row>
    <x:row r="143" ht="21" customHeight="1">
      <x:c r="A143" s="28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</x:row>
    <x:row r="144" ht="21" customHeight="1">
      <x:c r="A144" s="28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</x:row>
    <x:row r="145" ht="21" customHeight="1">
      <x:c r="A145" s="28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</x:row>
    <x:row r="146" ht="21" customHeight="1">
      <x:c r="A146" s="28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</x:row>
    <x:row r="147" ht="21" customHeight="1">
      <x:c r="A147" s="28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</x:row>
    <x:row r="148" ht="21" customHeight="1">
      <x:c r="A148" s="28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</x:row>
    <x:row r="149" ht="21" customHeight="1">
      <x:c r="A149" s="28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</x:row>
    <x:row r="150" ht="21" customHeight="1">
      <x:c r="A150" s="28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</x:row>
    <x:row r="151" ht="21" customHeight="1">
      <x:c r="A151" s="28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</x:row>
    <x:row r="152" ht="21" customHeight="1">
      <x:c r="A152" s="28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</x:row>
    <x:row r="153" ht="21" customHeight="1">
      <x:c r="A153" s="28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</x:row>
    <x:row r="154" ht="21" customHeight="1">
      <x:c r="A154" s="28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</x:row>
    <x:row r="155" ht="21" customHeight="1">
      <x:c r="A155" s="28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</x:row>
    <x:row r="156" ht="21" customHeight="1">
      <x:c r="A156" s="28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</x:row>
    <x:row r="157" ht="21" customHeight="1">
      <x:c r="A157" s="28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</x:row>
    <x:row r="158" ht="21" customHeight="1">
      <x:c r="A158" s="28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</x:row>
    <x:row r="159" ht="21" customHeight="1">
      <x:c r="A159" s="28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</x:row>
    <x:row r="160" ht="21" customHeight="1">
      <x:c r="A160" s="28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</x:row>
    <x:row r="161" ht="21" customHeight="1">
      <x:c r="A161" s="28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</x:row>
    <x:row r="162" ht="21" customHeight="1">
      <x:c r="A162" s="28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</x:row>
    <x:row r="163" ht="21" customHeight="1">
      <x:c r="A163" s="28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</x:row>
    <x:row r="164" ht="21" customHeight="1">
      <x:c r="A164" s="28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</x:row>
    <x:row r="165" ht="21" customHeight="1">
      <x:c r="A165" s="28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</x:row>
    <x:row r="166" ht="21" customHeight="1">
      <x:c r="A166" s="28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</x:row>
    <x:row r="167" ht="21" customHeight="1">
      <x:c r="A167" s="28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</x:row>
    <x:row r="168" ht="21" customHeight="1">
      <x:c r="A168" s="28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</x:row>
    <x:row r="169" ht="21" customHeight="1">
      <x:c r="A169" s="28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</x:row>
    <x:row r="170" ht="21" customHeight="1">
      <x:c r="A170" s="28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</x:row>
    <x:row r="171" ht="21" customHeight="1">
      <x:c r="A171" s="28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</x:row>
    <x:row r="172" ht="21" customHeight="1">
      <x:c r="A172" s="28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</x:row>
    <x:row r="173" ht="21" customHeight="1">
      <x:c r="A173" s="28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</x:row>
    <x:row r="174" ht="21" customHeight="1">
      <x:c r="A174" s="28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</x:row>
    <x:row r="175" ht="21" customHeight="1">
      <x:c r="A175" s="28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</x:row>
    <x:row r="176" ht="21" customHeight="1">
      <x:c r="A176" s="28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</x:row>
    <x:row r="177" ht="21" customHeight="1">
      <x:c r="A177" s="28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</x:row>
    <x:row r="178" ht="21" customHeight="1">
      <x:c r="A178" s="28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</x:row>
    <x:row r="179" ht="21" customHeight="1">
      <x:c r="A179" s="28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</x:row>
    <x:row r="180" ht="21" customHeight="1">
      <x:c r="A180" s="28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</x:row>
    <x:row r="181" ht="21" customHeight="1">
      <x:c r="A181" s="28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</x:row>
    <x:row r="182" ht="21" customHeight="1">
      <x:c r="A182" s="28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</x:row>
    <x:row r="183" ht="21" customHeight="1">
      <x:c r="A183" s="28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</x:row>
    <x:row r="184" ht="21" customHeight="1">
      <x:c r="A184" s="28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</x:row>
    <x:row r="185" ht="21" customHeight="1">
      <x:c r="A185" s="28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</x:row>
    <x:row r="186" ht="21" customHeight="1">
      <x:c r="A186" s="28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</x:row>
    <x:row r="187" ht="21" customHeight="1">
      <x:c r="A187" s="28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</x:row>
    <x:row r="188" ht="21" customHeight="1">
      <x:c r="A188" s="28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</x:row>
    <x:row r="189" ht="21" customHeight="1">
      <x:c r="A189" s="28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</x:row>
    <x:row r="190" ht="21" customHeight="1">
      <x:c r="A190" s="28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</x:row>
    <x:row r="191" ht="21" customHeight="1">
      <x:c r="A191" s="28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</x:row>
    <x:row r="192" ht="21" customHeight="1">
      <x:c r="A192" s="28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</x:row>
    <x:row r="193" ht="21" customHeight="1">
      <x:c r="A193" s="28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</x:row>
    <x:row r="194" ht="21" customHeight="1">
      <x:c r="A194" s="28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</x:row>
    <x:row r="195" ht="21" customHeight="1">
      <x:c r="A195" s="28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</x:row>
    <x:row r="196" ht="21" customHeight="1">
      <x:c r="A196" s="28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</x:row>
    <x:row r="197" ht="21" customHeight="1">
      <x:c r="A197" s="28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</x:row>
    <x:row r="198" ht="21" customHeight="1">
      <x:c r="A198" s="28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</x:row>
    <x:row r="199" ht="21" customHeight="1">
      <x:c r="A199" s="28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</x:row>
    <x:row r="200" ht="21" customHeight="1">
      <x:c r="A200" s="28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</x:row>
    <x:row r="201" ht="21" customHeight="1">
      <x:c r="A201" s="28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</x:row>
    <x:row r="202" ht="21" customHeight="1">
      <x:c r="A202" s="28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</x:row>
    <x:row r="203" ht="21" customHeight="1">
      <x:c r="A203" s="28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</x:row>
    <x:row r="204" ht="21" customHeight="1">
      <x:c r="A204" s="28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</x:row>
    <x:row r="205" ht="21" customHeight="1">
      <x:c r="A205" s="28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</x:row>
    <x:row r="206" ht="21" customHeight="1">
      <x:c r="A206" s="28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</x:row>
    <x:row r="207" ht="21" customHeight="1">
      <x:c r="A207" s="28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</x:row>
    <x:row r="208" ht="21" customHeight="1">
      <x:c r="A208" s="28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</x:row>
    <x:row r="209" ht="21" customHeight="1">
      <x:c r="A209" s="28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</x:row>
    <x:row r="210" ht="21" customHeight="1">
      <x:c r="A210" s="28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</x:row>
    <x:row r="211" ht="21" customHeight="1">
      <x:c r="A211" s="28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</x:row>
    <x:row r="212" ht="21" customHeight="1">
      <x:c r="A212" s="28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</x:row>
    <x:row r="213" ht="21" customHeight="1">
      <x:c r="A213" s="28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</x:row>
    <x:row r="214" ht="21" customHeight="1">
      <x:c r="A214" s="28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</x:row>
    <x:row r="215" ht="21" customHeight="1">
      <x:c r="A215" s="28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</x:row>
    <x:row r="216" ht="21" customHeight="1">
      <x:c r="A216" s="28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</x:row>
    <x:row r="217" ht="21" customHeight="1">
      <x:c r="A217" s="28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</x:row>
    <x:row r="218" ht="21" customHeight="1">
      <x:c r="A218" s="28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</x:row>
    <x:row r="219" ht="21" customHeight="1">
      <x:c r="A219" s="28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</x:row>
    <x:row r="220" ht="21" customHeight="1">
      <x:c r="A220" s="28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</x:row>
    <x:row r="221" ht="21" customHeight="1">
      <x:c r="A221" s="28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</x:row>
    <x:row r="222" ht="21" customHeight="1">
      <x:c r="A222" s="28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</x:row>
    <x:row r="223" ht="21" customHeight="1">
      <x:c r="A223" s="28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</x:row>
    <x:row r="224" ht="21" customHeight="1">
      <x:c r="A224" s="28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</x:row>
    <x:row r="225" ht="21" customHeight="1">
      <x:c r="A225" s="28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</x:row>
    <x:row r="226" ht="21" customHeight="1">
      <x:c r="A226" s="28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</x:row>
    <x:row r="227" ht="21" customHeight="1">
      <x:c r="A227" s="28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</x:row>
    <x:row r="228" ht="21" customHeight="1">
      <x:c r="A228" s="28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</x:row>
    <x:row r="229" ht="21" customHeight="1">
      <x:c r="A229" s="28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</x:row>
    <x:row r="230" ht="21" customHeight="1">
      <x:c r="A230" s="28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</x:row>
    <x:row r="231" ht="21" customHeight="1">
      <x:c r="A231" s="28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</x:row>
    <x:row r="232" ht="21" customHeight="1">
      <x:c r="A232" s="28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</x:row>
    <x:row r="233" ht="21" customHeight="1">
      <x:c r="A233" s="28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</x:row>
    <x:row r="234" ht="21" customHeight="1">
      <x:c r="A234" s="28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</x:row>
    <x:row r="235" ht="21" customHeight="1">
      <x:c r="A235" s="28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</x:row>
    <x:row r="236" ht="21" customHeight="1">
      <x:c r="A236" s="28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</x:row>
    <x:row r="237" ht="21" customHeight="1">
      <x:c r="A237" s="28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</x:row>
    <x:row r="238" ht="21" customHeight="1">
      <x:c r="A238" s="28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</x:row>
    <x:row r="239" ht="21" customHeight="1">
      <x:c r="A239" s="28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</x:row>
    <x:row r="240" ht="21" customHeight="1">
      <x:c r="A240" s="28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</x:row>
    <x:row r="241" ht="21" customHeight="1">
      <x:c r="A241" s="28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</x:row>
    <x:row r="242" ht="21" customHeight="1">
      <x:c r="A242" s="28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</x:row>
    <x:row r="243" ht="21" customHeight="1">
      <x:c r="A243" s="28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</x:row>
    <x:row r="244" ht="21" customHeight="1">
      <x:c r="A244" s="28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</x:row>
    <x:row r="245" ht="21" customHeight="1">
      <x:c r="A245" s="28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</x:row>
    <x:row r="246" ht="21" customHeight="1">
      <x:c r="A246" s="28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</x:row>
    <x:row r="247" ht="21" customHeight="1">
      <x:c r="A247" s="28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</x:row>
    <x:row r="248" ht="21" customHeight="1">
      <x:c r="A248" s="28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</x:row>
    <x:row r="249" ht="21" customHeight="1">
      <x:c r="A249" s="28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</x:row>
    <x:row r="250" ht="21" customHeight="1">
      <x:c r="A250" s="28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</x:row>
    <x:row r="251" ht="21" customHeight="1">
      <x:c r="A251" s="28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</x:row>
    <x:row r="252" ht="21" customHeight="1">
      <x:c r="A252" s="28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</x:row>
    <x:row r="253" ht="21" customHeight="1">
      <x:c r="A253" s="28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</x:row>
    <x:row r="254" ht="21" customHeight="1">
      <x:c r="A254" s="28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</x:row>
    <x:row r="255" ht="21" customHeight="1">
      <x:c r="A255" s="28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</x:row>
    <x:row r="256" ht="21" customHeight="1">
      <x:c r="A256" s="28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</x:row>
    <x:row r="257" ht="21" customHeight="1">
      <x:c r="A257" s="28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</x:row>
    <x:row r="258" ht="21" customHeight="1">
      <x:c r="A258" s="28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</x:row>
    <x:row r="259" ht="21" customHeight="1">
      <x:c r="A259" s="28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</x:row>
    <x:row r="260" ht="21" customHeight="1">
      <x:c r="A260" s="28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</x:row>
    <x:row r="261" ht="21" customHeight="1">
      <x:c r="A261" s="28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</x:row>
    <x:row r="262" ht="21" customHeight="1">
      <x:c r="A262" s="28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</x:row>
    <x:row r="263" ht="21" customHeight="1">
      <x:c r="A263" s="28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</x:row>
    <x:row r="264" ht="21" customHeight="1">
      <x:c r="A264" s="28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</x:row>
    <x:row r="265" ht="21" customHeight="1">
      <x:c r="A265" s="28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</x:row>
    <x:row r="266" ht="21" customHeight="1">
      <x:c r="A266" s="28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</x:row>
    <x:row r="267" ht="21" customHeight="1">
      <x:c r="A267" s="28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</x:row>
    <x:row r="268" ht="21" customHeight="1">
      <x:c r="A268" s="28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</x:row>
    <x:row r="269" ht="21" customHeight="1">
      <x:c r="A269" s="28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</x:row>
    <x:row r="270" ht="21" customHeight="1">
      <x:c r="A270" s="28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</x:row>
    <x:row r="271" ht="21" customHeight="1">
      <x:c r="A271" s="28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</x:row>
    <x:row r="272" ht="21" customHeight="1">
      <x:c r="A272" s="28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</x:row>
    <x:row r="273" ht="21" customHeight="1">
      <x:c r="A273" s="28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</x:row>
    <x:row r="274" ht="21" customHeight="1">
      <x:c r="A274" s="28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</x:row>
    <x:row r="275" ht="21" customHeight="1">
      <x:c r="A275" s="28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</x:row>
    <x:row r="276" ht="21" customHeight="1">
      <x:c r="A276" s="28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</x:row>
    <x:row r="277" ht="21" customHeight="1">
      <x:c r="A277" s="28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</x:row>
    <x:row r="278" ht="21" customHeight="1">
      <x:c r="A278" s="28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</x:row>
    <x:row r="279" ht="21" customHeight="1">
      <x:c r="A279" s="28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</x:row>
    <x:row r="280" ht="21" customHeight="1">
      <x:c r="A280" s="28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</x:row>
    <x:row r="281" ht="21" customHeight="1">
      <x:c r="A281" s="28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</x:row>
    <x:row r="282" ht="21" customHeight="1">
      <x:c r="A282" s="28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</x:row>
    <x:row r="283" ht="21" customHeight="1">
      <x:c r="A283" s="28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</x:row>
    <x:row r="284" ht="21" customHeight="1">
      <x:c r="A284" s="28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</x:row>
    <x:row r="285" ht="21" customHeight="1">
      <x:c r="A285" s="28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</x:row>
    <x:row r="286" ht="21" customHeight="1">
      <x:c r="A286" s="28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</x:row>
    <x:row r="287" ht="21" customHeight="1">
      <x:c r="A287" s="28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</x:row>
    <x:row r="288" ht="21" customHeight="1">
      <x:c r="A288" s="28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</x:row>
    <x:row r="289" ht="21" customHeight="1">
      <x:c r="A289" s="28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</x:row>
    <x:row r="290" ht="21" customHeight="1">
      <x:c r="A290" s="28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</x:row>
    <x:row r="291" ht="21" customHeight="1">
      <x:c r="A291" s="28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</x:row>
    <x:row r="292" ht="21" customHeight="1">
      <x:c r="A292" s="28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</x:row>
    <x:row r="293" ht="21" customHeight="1">
      <x:c r="A293" s="28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</x:row>
    <x:row r="294" ht="21" customHeight="1">
      <x:c r="A294" s="28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</x:row>
    <x:row r="295" ht="21" customHeight="1">
      <x:c r="A295" s="28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</x:row>
    <x:row r="296" ht="21" customHeight="1">
      <x:c r="A296" s="28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</x:row>
    <x:row r="297" ht="21" customHeight="1">
      <x:c r="A297" s="28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</x:row>
    <x:row r="298" ht="21" customHeight="1">
      <x:c r="A298" s="28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</x:row>
    <x:row r="299" ht="21" customHeight="1">
      <x:c r="A299" s="28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</x:row>
    <x:row r="300" ht="21" customHeight="1">
      <x:c r="A300" s="28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</x:row>
    <x:row r="301" ht="21" customHeight="1">
      <x:c r="A301" s="28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</x:row>
    <x:row r="302" ht="21" customHeight="1">
      <x:c r="A302" s="28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</x:row>
    <x:row r="303" ht="21" customHeight="1">
      <x:c r="A303" s="28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</x:row>
    <x:row r="304" ht="21" customHeight="1">
      <x:c r="A304" s="28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</x:row>
    <x:row r="305" ht="21" customHeight="1">
      <x:c r="A305" s="28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</x:row>
    <x:row r="306" ht="21" customHeight="1">
      <x:c r="A306" s="28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</x:row>
    <x:row r="307" ht="21" customHeight="1">
      <x:c r="A307" s="28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</x:row>
    <x:row r="308" ht="21" customHeight="1">
      <x:c r="A308" s="28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</x:row>
    <x:row r="309" ht="21" customHeight="1">
      <x:c r="A309" s="28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</x:row>
    <x:row r="310" ht="21" customHeight="1">
      <x:c r="A310" s="28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</x:row>
    <x:row r="311" ht="21" customHeight="1">
      <x:c r="A311" s="28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</x:row>
    <x:row r="312" ht="21" customHeight="1">
      <x:c r="A312" s="28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</x:row>
    <x:row r="313" ht="21" customHeight="1">
      <x:c r="A313" s="28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</x:row>
    <x:row r="314" ht="21" customHeight="1">
      <x:c r="A314" s="28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</x:row>
    <x:row r="315" ht="21" customHeight="1">
      <x:c r="A315" s="28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</x:row>
    <x:row r="316" ht="21" customHeight="1">
      <x:c r="A316" s="28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</x:row>
    <x:row r="317" ht="21" customHeight="1">
      <x:c r="A317" s="28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</x:row>
    <x:row r="318" ht="21" customHeight="1">
      <x:c r="A318" s="28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</x:row>
    <x:row r="319" ht="21" customHeight="1">
      <x:c r="A319" s="28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</x:row>
    <x:row r="320" ht="21" customHeight="1">
      <x:c r="A320" s="28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</x:row>
    <x:row r="321" ht="21" customHeight="1">
      <x:c r="A321" s="28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</x:row>
    <x:row r="322" ht="21" customHeight="1">
      <x:c r="A322" s="28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</x:row>
    <x:row r="323" ht="21" customHeight="1">
      <x:c r="A323" s="28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</x:row>
    <x:row r="324" ht="21" customHeight="1">
      <x:c r="A324" s="28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</x:row>
    <x:row r="325" ht="21" customHeight="1">
      <x:c r="A325" s="28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</x:row>
    <x:row r="326" ht="21" customHeight="1">
      <x:c r="A326" s="28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</x:row>
    <x:row r="327" ht="21" customHeight="1">
      <x:c r="A327" s="28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</x:row>
    <x:row r="328" ht="21" customHeight="1">
      <x:c r="A328" s="28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</x:row>
    <x:row r="329" ht="21" customHeight="1">
      <x:c r="A329" s="28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</x:row>
    <x:row r="330" ht="21" customHeight="1">
      <x:c r="A330" s="28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</x:row>
    <x:row r="331" ht="21" customHeight="1">
      <x:c r="A331" s="28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</x:row>
    <x:row r="332" ht="21" customHeight="1">
      <x:c r="A332" s="28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</x:row>
    <x:row r="333" ht="21" customHeight="1">
      <x:c r="A333" s="28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</x:row>
    <x:row r="334" ht="21" customHeight="1">
      <x:c r="A334" s="28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</x:row>
    <x:row r="335" ht="21" customHeight="1">
      <x:c r="A335" s="28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</x:row>
    <x:row r="336" ht="21" customHeight="1">
      <x:c r="A336" s="28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</x:row>
    <x:row r="337" ht="21" customHeight="1">
      <x:c r="A337" s="28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</x:row>
    <x:row r="338" ht="21" customHeight="1">
      <x:c r="A338" s="28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</x:row>
    <x:row r="339" ht="21" customHeight="1">
      <x:c r="A339" s="28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</x:row>
    <x:row r="340" ht="21" customHeight="1">
      <x:c r="A340" s="28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</x:row>
    <x:row r="341" ht="21" customHeight="1">
      <x:c r="A341" s="28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</x:row>
    <x:row r="342" ht="21" customHeight="1">
      <x:c r="A342" s="28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</x:row>
    <x:row r="343" ht="21" customHeight="1">
      <x:c r="A343" s="28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</x:row>
    <x:row r="344" ht="21" customHeight="1">
      <x:c r="A344" s="28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</x:row>
    <x:row r="345" ht="21" customHeight="1">
      <x:c r="A345" s="28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</x:row>
    <x:row r="346" ht="21" customHeight="1">
      <x:c r="A346" s="28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</x:row>
    <x:row r="347" ht="21" customHeight="1">
      <x:c r="A347" s="28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</x:row>
    <x:row r="348" ht="21" customHeight="1">
      <x:c r="A348" s="28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</x:row>
    <x:row r="349" ht="21" customHeight="1">
      <x:c r="A349" s="28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</x:row>
    <x:row r="350" ht="21" customHeight="1">
      <x:c r="A350" s="28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</x:row>
    <x:row r="351" ht="21" customHeight="1">
      <x:c r="A351" s="28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</x:row>
    <x:row r="352" ht="21" customHeight="1">
      <x:c r="A352" s="28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</x:row>
    <x:row r="353" ht="21" customHeight="1">
      <x:c r="A353" s="28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</x:row>
    <x:row r="354" ht="21" customHeight="1">
      <x:c r="A354" s="28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</x:row>
    <x:row r="355" ht="21" customHeight="1">
      <x:c r="A355" s="28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</x:row>
    <x:row r="356" ht="21" customHeight="1">
      <x:c r="A356" s="28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</x:row>
    <x:row r="357" ht="21" customHeight="1">
      <x:c r="A357" s="28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</x:row>
    <x:row r="358" ht="21" customHeight="1">
      <x:c r="A358" s="28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</x:row>
    <x:row r="359" ht="21" customHeight="1">
      <x:c r="A359" s="28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</x:row>
    <x:row r="360" ht="21" customHeight="1">
      <x:c r="A360" s="28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</x:row>
    <x:row r="361" ht="21" customHeight="1">
      <x:c r="A361" s="28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</x:row>
    <x:row r="362" ht="21" customHeight="1">
      <x:c r="A362" s="28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</x:row>
    <x:row r="363" ht="21" customHeight="1">
      <x:c r="A363" s="28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</x:row>
    <x:row r="364" ht="21" customHeight="1">
      <x:c r="A364" s="28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</x:row>
    <x:row r="365" ht="21" customHeight="1">
      <x:c r="A365" s="28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</x:row>
    <x:row r="366" ht="21" customHeight="1">
      <x:c r="A366" s="28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</x:row>
    <x:row r="367" ht="21" customHeight="1">
      <x:c r="A367" s="28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</x:row>
    <x:row r="368" ht="21" customHeight="1">
      <x:c r="A368" s="28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</x:row>
    <x:row r="369" ht="21" customHeight="1">
      <x:c r="A369" s="28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</x:row>
    <x:row r="370" ht="21" customHeight="1">
      <x:c r="A370" s="28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</x:row>
    <x:row r="371" ht="21" customHeight="1">
      <x:c r="A371" s="28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</x:row>
    <x:row r="372" ht="21" customHeight="1">
      <x:c r="A372" s="28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</x:row>
    <x:row r="373" ht="21" customHeight="1">
      <x:c r="A373" s="28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</x:row>
    <x:row r="374" ht="21" customHeight="1">
      <x:c r="A374" s="28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</x:row>
    <x:row r="375" ht="21" customHeight="1">
      <x:c r="A375" s="28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</x:row>
    <x:row r="376" ht="21" customHeight="1">
      <x:c r="A376" s="28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</x:row>
    <x:row r="377" ht="21" customHeight="1">
      <x:c r="A377" s="28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</x:row>
    <x:row r="378" ht="21" customHeight="1">
      <x:c r="A378" s="28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</x:row>
    <x:row r="379" ht="21" customHeight="1">
      <x:c r="A379" s="28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</x:row>
    <x:row r="380" ht="21" customHeight="1">
      <x:c r="A380" s="28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</x:row>
    <x:row r="381" ht="21" customHeight="1">
      <x:c r="A381" s="28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</x:row>
    <x:row r="382" ht="21" customHeight="1">
      <x:c r="A382" s="28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</x:row>
    <x:row r="383" ht="21" customHeight="1">
      <x:c r="A383" s="28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</x:row>
    <x:row r="384" ht="21" customHeight="1">
      <x:c r="A384" s="28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</x:row>
    <x:row r="385" ht="21" customHeight="1">
      <x:c r="A385" s="28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</x:row>
    <x:row r="386" ht="21" customHeight="1">
      <x:c r="A386" s="28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</x:row>
    <x:row r="387" ht="21" customHeight="1">
      <x:c r="A387" s="28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</x:row>
    <x:row r="388" ht="21" customHeight="1">
      <x:c r="A388" s="28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</x:row>
    <x:row r="389" ht="21" customHeight="1">
      <x:c r="A389" s="28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</x:row>
    <x:row r="390" ht="21" customHeight="1">
      <x:c r="A390" s="28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</x:row>
    <x:row r="391" ht="21" customHeight="1">
      <x:c r="A391" s="28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</x:row>
    <x:row r="392" ht="21" customHeight="1">
      <x:c r="A392" s="28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</x:row>
    <x:row r="393" ht="21" customHeight="1">
      <x:c r="A393" s="28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</x:row>
    <x:row r="394" ht="21" customHeight="1">
      <x:c r="A394" s="28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</x:row>
    <x:row r="395" ht="21" customHeight="1">
      <x:c r="A395" s="28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</x:row>
    <x:row r="396" ht="21" customHeight="1">
      <x:c r="A396" s="28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</x:row>
    <x:row r="397" ht="21" customHeight="1">
      <x:c r="A397" s="28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</x:row>
    <x:row r="398" ht="21" customHeight="1">
      <x:c r="A398" s="28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</x:row>
    <x:row r="399" ht="21" customHeight="1">
      <x:c r="A399" s="28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</x:row>
    <x:row r="400" ht="21" customHeight="1">
      <x:c r="A400" s="28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</x:row>
    <x:row r="401" ht="21" customHeight="1">
      <x:c r="A401" s="28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</x:row>
    <x:row r="402" ht="21" customHeight="1">
      <x:c r="A402" s="28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</x:row>
    <x:row r="403" ht="21" customHeight="1">
      <x:c r="A403" s="28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</x:row>
    <x:row r="404" ht="21" customHeight="1">
      <x:c r="A404" s="28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</x:row>
    <x:row r="405" ht="21" customHeight="1">
      <x:c r="A405" s="28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</x:row>
    <x:row r="406" ht="21" customHeight="1">
      <x:c r="A406" s="28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</x:row>
    <x:row r="407" ht="21" customHeight="1">
      <x:c r="A407" s="28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</x:row>
    <x:row r="408" ht="21" customHeight="1">
      <x:c r="A408" s="28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</x:row>
    <x:row r="409" ht="21" customHeight="1">
      <x:c r="A409" s="28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</x:row>
    <x:row r="410" ht="21" customHeight="1">
      <x:c r="A410" s="28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</x:row>
    <x:row r="411" ht="21" customHeight="1">
      <x:c r="A411" s="28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</x:row>
    <x:row r="412" ht="21" customHeight="1">
      <x:c r="A412" s="28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</x:row>
    <x:row r="413" ht="21" customHeight="1">
      <x:c r="A413" s="28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</x:row>
    <x:row r="414" ht="21" customHeight="1">
      <x:c r="A414" s="28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</x:row>
    <x:row r="415" ht="21" customHeight="1">
      <x:c r="A415" s="28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</x:row>
    <x:row r="416" ht="21" customHeight="1">
      <x:c r="A416" s="28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</x:row>
    <x:row r="417" ht="21" customHeight="1">
      <x:c r="A417" s="28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</x:row>
    <x:row r="418" ht="21" customHeight="1">
      <x:c r="A418" s="28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</x:row>
    <x:row r="419" ht="21" customHeight="1">
      <x:c r="A419" s="28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</x:row>
    <x:row r="420" ht="21" customHeight="1">
      <x:c r="A420" s="28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</x:row>
    <x:row r="421" ht="21" customHeight="1">
      <x:c r="A421" s="28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</x:row>
    <x:row r="422" ht="21" customHeight="1">
      <x:c r="A422" s="28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</x:row>
    <x:row r="423" ht="21" customHeight="1">
      <x:c r="A423" s="28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</x:row>
    <x:row r="424" ht="21" customHeight="1">
      <x:c r="A424" s="28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</x:row>
    <x:row r="425" ht="21" customHeight="1">
      <x:c r="A425" s="28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</x:row>
    <x:row r="426" ht="21" customHeight="1">
      <x:c r="A426" s="28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</x:row>
    <x:row r="427" ht="21" customHeight="1">
      <x:c r="A427" s="28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</x:row>
    <x:row r="428" ht="21" customHeight="1">
      <x:c r="A428" s="28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</x:row>
    <x:row r="429" ht="21" customHeight="1">
      <x:c r="A429" s="28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</x:row>
    <x:row r="430" ht="21" customHeight="1">
      <x:c r="A430" s="28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</x:row>
    <x:row r="431" ht="21" customHeight="1">
      <x:c r="A431" s="28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</x:row>
    <x:row r="432" ht="21" customHeight="1">
      <x:c r="A432" s="28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</x:row>
    <x:row r="433" ht="21" customHeight="1">
      <x:c r="A433" s="28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</x:row>
    <x:row r="434" ht="21" customHeight="1">
      <x:c r="A434" s="28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</x:row>
    <x:row r="435" ht="21" customHeight="1">
      <x:c r="A435" s="28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</x:row>
    <x:row r="436" ht="21" customHeight="1">
      <x:c r="A436" s="28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</x:row>
    <x:row r="437" ht="21" customHeight="1">
      <x:c r="A437" s="28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</x:row>
    <x:row r="438" ht="21" customHeight="1">
      <x:c r="A438" s="28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</x:row>
    <x:row r="439" ht="21" customHeight="1">
      <x:c r="A439" s="28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</x:row>
    <x:row r="440" ht="21" customHeight="1">
      <x:c r="A440" s="28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</x:row>
    <x:row r="441" ht="21" customHeight="1">
      <x:c r="A441" s="28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</x:row>
    <x:row r="442" ht="21" customHeight="1">
      <x:c r="A442" s="28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</x:row>
    <x:row r="443" ht="21" customHeight="1">
      <x:c r="A443" s="28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</x:row>
    <x:row r="444" ht="21" customHeight="1">
      <x:c r="A444" s="28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</x:row>
    <x:row r="445" ht="21" customHeight="1">
      <x:c r="A445" s="28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</x:row>
    <x:row r="446" ht="21" customHeight="1">
      <x:c r="A446" s="28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</x:row>
    <x:row r="447" ht="21" customHeight="1">
      <x:c r="A447" s="28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</x:row>
    <x:row r="448" ht="21" customHeight="1">
      <x:c r="A448" s="28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</x:row>
    <x:row r="449" ht="21" customHeight="1">
      <x:c r="A449" s="28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</x:row>
    <x:row r="450" ht="21" customHeight="1">
      <x:c r="A450" s="28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</x:row>
    <x:row r="451" ht="21" customHeight="1">
      <x:c r="A451" s="28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</x:row>
    <x:row r="452" ht="21" customHeight="1">
      <x:c r="A452" s="28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</x:row>
    <x:row r="453" ht="21" customHeight="1">
      <x:c r="A453" s="28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</x:row>
    <x:row r="454" ht="21" customHeight="1">
      <x:c r="A454" s="28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</x:row>
    <x:row r="455" ht="21" customHeight="1">
      <x:c r="A455" s="28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</x:row>
    <x:row r="456" ht="21" customHeight="1">
      <x:c r="A456" s="28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</x:row>
    <x:row r="457" ht="21" customHeight="1">
      <x:c r="A457" s="28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</x:row>
    <x:row r="458" ht="21" customHeight="1">
      <x:c r="A458" s="28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</x:row>
    <x:row r="459" ht="21" customHeight="1">
      <x:c r="A459" s="28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</x:row>
    <x:row r="460" ht="21" customHeight="1">
      <x:c r="A460" s="28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</x:row>
    <x:row r="461" ht="21" customHeight="1">
      <x:c r="A461" s="28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</x:row>
    <x:row r="462" ht="21" customHeight="1">
      <x:c r="A462" s="28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</x:row>
    <x:row r="463" ht="21" customHeight="1">
      <x:c r="A463" s="28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</x:row>
    <x:row r="464" ht="21" customHeight="1">
      <x:c r="A464" s="28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</x:row>
    <x:row r="465" ht="21" customHeight="1">
      <x:c r="A465" s="28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</x:row>
    <x:row r="466" ht="21" customHeight="1">
      <x:c r="A466" s="28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</x:row>
    <x:row r="467" ht="21" customHeight="1">
      <x:c r="A467" s="28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</x:row>
    <x:row r="468" ht="21" customHeight="1">
      <x:c r="A468" s="28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</x:row>
    <x:row r="469" ht="21" customHeight="1">
      <x:c r="A469" s="28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</x:row>
    <x:row r="470" ht="21" customHeight="1">
      <x:c r="A470" s="28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</x:row>
    <x:row r="471" ht="21" customHeight="1">
      <x:c r="A471" s="28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</x:row>
    <x:row r="472" ht="21" customHeight="1">
      <x:c r="A472" s="28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</x:row>
    <x:row r="473" ht="21" customHeight="1">
      <x:c r="A473" s="28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</x:row>
    <x:row r="474" ht="21" customHeight="1">
      <x:c r="A474" s="28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</x:row>
    <x:row r="475" ht="21" customHeight="1">
      <x:c r="A475" s="28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</x:row>
    <x:row r="476" ht="21" customHeight="1">
      <x:c r="A476" s="28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</x:row>
    <x:row r="477" ht="21" customHeight="1">
      <x:c r="A477" s="28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</x:row>
    <x:row r="478" ht="21" customHeight="1">
      <x:c r="A478" s="28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</x:row>
    <x:row r="479" ht="21" customHeight="1">
      <x:c r="A479" s="28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</x:row>
    <x:row r="480" ht="21" customHeight="1">
      <x:c r="A480" s="28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</x:row>
    <x:row r="481" ht="21" customHeight="1">
      <x:c r="A481" s="28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</x:row>
    <x:row r="482" ht="21" customHeight="1">
      <x:c r="A482" s="28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</x:row>
    <x:row r="483" ht="21" customHeight="1">
      <x:c r="A483" s="28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</x:row>
    <x:row r="484" ht="21" customHeight="1">
      <x:c r="A484" s="28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</x:row>
    <x:row r="485" ht="21" customHeight="1">
      <x:c r="A485" s="28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</x:row>
    <x:row r="486" ht="21" customHeight="1">
      <x:c r="A486" s="28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</x:row>
    <x:row r="487" ht="21" customHeight="1">
      <x:c r="A487" s="28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</x:row>
    <x:row r="488" ht="21" customHeight="1">
      <x:c r="A488" s="28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</x:row>
    <x:row r="489" ht="21" customHeight="1">
      <x:c r="A489" s="28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</x:row>
    <x:row r="490" ht="21" customHeight="1">
      <x:c r="A490" s="28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</x:row>
    <x:row r="491" ht="21" customHeight="1">
      <x:c r="A491" s="28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</x:row>
    <x:row r="492" ht="21" customHeight="1">
      <x:c r="A492" s="28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</x:row>
    <x:row r="493" ht="21" customHeight="1">
      <x:c r="A493" s="28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</x:row>
    <x:row r="494" ht="21" customHeight="1">
      <x:c r="A494" s="28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</x:row>
    <x:row r="495" ht="21" customHeight="1">
      <x:c r="A495" s="28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</x:row>
    <x:row r="496" ht="21" customHeight="1">
      <x:c r="A496" s="28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</x:row>
    <x:row r="497" ht="21" customHeight="1">
      <x:c r="A497" s="28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</x:row>
    <x:row r="498" ht="21" customHeight="1">
      <x:c r="A498" s="28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</x:row>
    <x:row r="499" ht="21" customHeight="1">
      <x:c r="A499" s="28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</x:row>
    <x:row r="500" ht="21" customHeight="1">
      <x:c r="A500" s="28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</x:row>
    <x:row r="501" ht="21" customHeight="1">
      <x:c r="A501" s="28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</x:row>
    <x:row r="502" ht="21" customHeight="1">
      <x:c r="A502" s="28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</x:row>
    <x:row r="503" ht="21" customHeight="1">
      <x:c r="A503" s="28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</x:row>
    <x:row r="504" ht="21" customHeight="1">
      <x:c r="A504" s="28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</x:row>
    <x:row r="505" ht="21" customHeight="1">
      <x:c r="A505" s="28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</x:row>
    <x:row r="506" ht="21" customHeight="1">
      <x:c r="A506" s="28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</x:row>
    <x:row r="507" ht="21" customHeight="1">
      <x:c r="A507" s="28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</x:row>
    <x:row r="508" ht="21" customHeight="1">
      <x:c r="A508" s="28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</x:row>
    <x:row r="509" ht="21" customHeight="1">
      <x:c r="A509" s="28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</x:row>
    <x:row r="510" ht="21" customHeight="1">
      <x:c r="A510" s="28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</x:row>
    <x:row r="511" ht="21" customHeight="1">
      <x:c r="A511" s="28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</x:row>
    <x:row r="512" ht="21" customHeight="1">
      <x:c r="A512" s="28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</x:row>
    <x:row r="513" ht="21" customHeight="1">
      <x:c r="A513" s="28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</x:row>
    <x:row r="514" ht="21" customHeight="1">
      <x:c r="A514" s="28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</x:row>
    <x:row r="515" ht="21" customHeight="1">
      <x:c r="A515" s="28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</x:row>
    <x:row r="516" ht="21" customHeight="1">
      <x:c r="A516" s="28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</x:row>
    <x:row r="517" ht="21" customHeight="1">
      <x:c r="A517" s="28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</x:row>
    <x:row r="518" ht="21" customHeight="1">
      <x:c r="A518" s="28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</x:row>
    <x:row r="519" ht="21" customHeight="1">
      <x:c r="A519" s="28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</x:row>
    <x:row r="520" ht="21" customHeight="1">
      <x:c r="A520" s="28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9" hidden="0" customWidth="1"/>
    <x:col min="3" max="3" width="10" hidden="0" customWidth="1"/>
    <x:col min="4" max="4" width="12" hidden="0" customWidth="1"/>
    <x:col min="5" max="5" width="17" hidden="0" customWidth="1"/>
    <x:col min="6" max="6" width="19" hidden="0" customWidth="1"/>
    <x:col min="7" max="7" width="13" hidden="0" customWidth="1"/>
    <x:col min="8" max="8" width="13" hidden="0" customWidth="1"/>
    <x:col min="9" max="9" width="17" hidden="0" customWidth="1"/>
    <x:col min="10" max="10" width="17" hidden="0" customWidth="1"/>
    <x:col min="11" max="11" width="14" hidden="0" customWidth="1"/>
    <x:col min="12" max="12" width="9" hidden="0" customWidth="1"/>
    <x:col min="13" max="13" width="67" hidden="0" customWidth="1"/>
  </x:cols>
  <x:sheetData>
    <x:row r="1" ht="21" customHeight="1">
      <x:c r="A1" s="17"/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26" customHeight="1">
      <x:c r="A2" s="18" t="str">
        <x:v>Khớp lệnh — VND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21" customHeight="1">
      <x:c r="A3" s="17" t="str">
        <x:v>Cost/P&amp;L broker là trường nguồn; không dùng thay giá trị khớp hoặc giá định giá cuối ngày.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 ht="30" customHeight="1">
      <x:c r="A4" s="7" t="str">
        <x:v>Ngày khớp</x:v>
      </x:c>
      <x:c r="B4" s="7" t="str">
        <x:v>Mã</x:v>
      </x:c>
      <x:c r="C4" s="7" t="str">
        <x:v>Chiều</x:v>
      </x:c>
      <x:c r="D4" s="7" t="str">
        <x:v>KL khớp</x:v>
      </x:c>
      <x:c r="E4" s="7" t="str">
        <x:v>Giá khớp</x:v>
      </x:c>
      <x:c r="F4" s="7" t="str">
        <x:v>Giá trị</x:v>
      </x:c>
      <x:c r="G4" s="7" t="str">
        <x:v>Phí</x:v>
      </x:c>
      <x:c r="H4" s="7" t="str">
        <x:v>Thuế</x:v>
      </x:c>
      <x:c r="I4" s="7" t="str">
        <x:v>Cost broker</x:v>
      </x:c>
      <x:c r="J4" s="7" t="str">
        <x:v>P/L broker</x:v>
      </x:c>
      <x:c r="K4" s="7" t="str">
        <x:v>Nguồn</x:v>
      </x:c>
      <x:c r="L4" s="7" t="str">
        <x:v>Dòng</x:v>
      </x:c>
      <x:c r="M4" s="7" t="str">
        <x:v>SHA-256 nguồn</x:v>
      </x:c>
      <x:c r="N4" s="17"/>
    </x:row>
    <x:row r="5" ht="21" customHeight="1">
      <x:c r="A5" s="27" t="d">
        <x:v>2025-07-01T00:00:00.000Z</x:v>
      </x:c>
      <x:c r="B5" s="17" t="str">
        <x:v>VCB</x:v>
      </x:c>
      <x:c r="C5" s="17" t="str">
        <x:v>BUY</x:v>
      </x:c>
      <x:c r="D5" s="22" t="n">
        <x:v>100</x:v>
      </x:c>
      <x:c r="E5" s="22" t="n">
        <x:v>58500</x:v>
      </x:c>
      <x:c r="F5" s="22" t="n">
        <x:v>5850000</x:v>
      </x:c>
      <x:c r="G5" s="22" t="n">
        <x:v>1755</x:v>
      </x:c>
      <x:c r="H5" s="22" t="n">
        <x:v>0</x:v>
      </x:c>
      <x:c r="I5" s="22" t="n">
        <x:v>58518</x:v>
      </x:c>
      <x:c r="J5" s="22" t="n">
        <x:v>0</x:v>
      </x:c>
      <x:c r="K5" s="17" t="str">
        <x:v>TRADES_A</x:v>
      </x:c>
      <x:c r="L5" s="17" t="n">
        <x:v>22</x:v>
      </x:c>
      <x:c r="M5" s="17" t="str">
        <x:v>19d9261081f30127ca160e5c146cb5b83706cf235b3704f8f5bae4efd9ac6b19</x:v>
      </x:c>
      <x:c r="N5" s="17"/>
    </x:row>
    <x:row r="6" ht="21" customHeight="1">
      <x:c r="A6" s="27" t="d">
        <x:v>2025-07-02T00:00:00.000Z</x:v>
      </x:c>
      <x:c r="B6" s="17" t="str">
        <x:v>VRE</x:v>
      </x:c>
      <x:c r="C6" s="17" t="str">
        <x:v>BUY</x:v>
      </x:c>
      <x:c r="D6" s="22" t="n">
        <x:v>100</x:v>
      </x:c>
      <x:c r="E6" s="22" t="n">
        <x:v>25100</x:v>
      </x:c>
      <x:c r="F6" s="22" t="n">
        <x:v>2510000</x:v>
      </x:c>
      <x:c r="G6" s="22" t="n">
        <x:v>753</x:v>
      </x:c>
      <x:c r="H6" s="22" t="n">
        <x:v>0</x:v>
      </x:c>
      <x:c r="I6" s="22" t="n">
        <x:v>25108</x:v>
      </x:c>
      <x:c r="J6" s="22" t="n">
        <x:v>0</x:v>
      </x:c>
      <x:c r="K6" s="17" t="str">
        <x:v>TRADES_A</x:v>
      </x:c>
      <x:c r="L6" s="17" t="n">
        <x:v>21</x:v>
      </x:c>
      <x:c r="M6" s="17" t="str">
        <x:v>19d9261081f30127ca160e5c146cb5b83706cf235b3704f8f5bae4efd9ac6b19</x:v>
      </x:c>
      <x:c r="N6" s="17"/>
    </x:row>
    <x:row r="7" ht="21" customHeight="1">
      <x:c r="A7" s="27" t="d">
        <x:v>2025-07-09T00:00:00.000Z</x:v>
      </x:c>
      <x:c r="B7" s="17" t="str">
        <x:v>TPB</x:v>
      </x:c>
      <x:c r="C7" s="17" t="str">
        <x:v>BUY</x:v>
      </x:c>
      <x:c r="D7" s="22" t="n">
        <x:v>100</x:v>
      </x:c>
      <x:c r="E7" s="22" t="n">
        <x:v>14900</x:v>
      </x:c>
      <x:c r="F7" s="22" t="n">
        <x:v>1490000</x:v>
      </x:c>
      <x:c r="G7" s="22" t="n">
        <x:v>447</x:v>
      </x:c>
      <x:c r="H7" s="22" t="n">
        <x:v>0</x:v>
      </x:c>
      <x:c r="I7" s="22" t="n">
        <x:v>14904</x:v>
      </x:c>
      <x:c r="J7" s="22" t="n">
        <x:v>0</x:v>
      </x:c>
      <x:c r="K7" s="17" t="str">
        <x:v>TRADES_A</x:v>
      </x:c>
      <x:c r="L7" s="17" t="n">
        <x:v>20</x:v>
      </x:c>
      <x:c r="M7" s="17" t="str">
        <x:v>19d9261081f30127ca160e5c146cb5b83706cf235b3704f8f5bae4efd9ac6b19</x:v>
      </x:c>
      <x:c r="N7" s="17"/>
    </x:row>
    <x:row r="8" ht="21" customHeight="1">
      <x:c r="A8" s="27" t="d">
        <x:v>2025-08-14T00:00:00.000Z</x:v>
      </x:c>
      <x:c r="B8" s="17" t="str">
        <x:v>VHM</x:v>
      </x:c>
      <x:c r="C8" s="17" t="str">
        <x:v>BUY</x:v>
      </x:c>
      <x:c r="D8" s="22" t="n">
        <x:v>100</x:v>
      </x:c>
      <x:c r="E8" s="22" t="n">
        <x:v>93800</x:v>
      </x:c>
      <x:c r="F8" s="22" t="n">
        <x:v>9380000</x:v>
      </x:c>
      <x:c r="G8" s="22" t="n">
        <x:v>2814</x:v>
      </x:c>
      <x:c r="H8" s="22" t="n">
        <x:v>0</x:v>
      </x:c>
      <x:c r="I8" s="22" t="n">
        <x:v>93828</x:v>
      </x:c>
      <x:c r="J8" s="22" t="n">
        <x:v>0</x:v>
      </x:c>
      <x:c r="K8" s="17" t="str">
        <x:v>TRADES_A</x:v>
      </x:c>
      <x:c r="L8" s="17" t="n">
        <x:v>19</x:v>
      </x:c>
      <x:c r="M8" s="17" t="str">
        <x:v>19d9261081f30127ca160e5c146cb5b83706cf235b3704f8f5bae4efd9ac6b19</x:v>
      </x:c>
      <x:c r="N8" s="17"/>
    </x:row>
    <x:row r="9" ht="21" customHeight="1">
      <x:c r="A9" s="27" t="d">
        <x:v>2025-10-08T00:00:00.000Z</x:v>
      </x:c>
      <x:c r="B9" s="17" t="str">
        <x:v>FPT</x:v>
      </x:c>
      <x:c r="C9" s="17" t="str">
        <x:v>BUY</x:v>
      </x:c>
      <x:c r="D9" s="22" t="n">
        <x:v>100</x:v>
      </x:c>
      <x:c r="E9" s="22" t="n">
        <x:v>95900</x:v>
      </x:c>
      <x:c r="F9" s="22" t="n">
        <x:v>9590000</x:v>
      </x:c>
      <x:c r="G9" s="22" t="n">
        <x:v>2877</x:v>
      </x:c>
      <x:c r="H9" s="22" t="n">
        <x:v>0</x:v>
      </x:c>
      <x:c r="I9" s="22" t="n">
        <x:v>95929</x:v>
      </x:c>
      <x:c r="J9" s="22" t="n">
        <x:v>0</x:v>
      </x:c>
      <x:c r="K9" s="17" t="str">
        <x:v>TRADES_A</x:v>
      </x:c>
      <x:c r="L9" s="17" t="n">
        <x:v>18</x:v>
      </x:c>
      <x:c r="M9" s="17" t="str">
        <x:v>19d9261081f30127ca160e5c146cb5b83706cf235b3704f8f5bae4efd9ac6b19</x:v>
      </x:c>
      <x:c r="N9" s="17"/>
    </x:row>
    <x:row r="10" ht="21" customHeight="1">
      <x:c r="A10" s="27" t="d">
        <x:v>2025-11-07T00:00:00.000Z</x:v>
      </x:c>
      <x:c r="B10" s="17" t="str">
        <x:v>HPG</x:v>
      </x:c>
      <x:c r="C10" s="17" t="str">
        <x:v>BUY</x:v>
      </x:c>
      <x:c r="D10" s="22" t="n">
        <x:v>100</x:v>
      </x:c>
      <x:c r="E10" s="22" t="n">
        <x:v>26350</x:v>
      </x:c>
      <x:c r="F10" s="22" t="n">
        <x:v>2635000</x:v>
      </x:c>
      <x:c r="G10" s="22" t="n">
        <x:v>790</x:v>
      </x:c>
      <x:c r="H10" s="22" t="n">
        <x:v>0</x:v>
      </x:c>
      <x:c r="I10" s="22" t="n">
        <x:v>26358</x:v>
      </x:c>
      <x:c r="J10" s="22" t="n">
        <x:v>0</x:v>
      </x:c>
      <x:c r="K10" s="17" t="str">
        <x:v>TRADES_A</x:v>
      </x:c>
      <x:c r="L10" s="17" t="n">
        <x:v>17</x:v>
      </x:c>
      <x:c r="M10" s="17" t="str">
        <x:v>19d9261081f30127ca160e5c146cb5b83706cf235b3704f8f5bae4efd9ac6b19</x:v>
      </x:c>
      <x:c r="N10" s="17"/>
    </x:row>
    <x:row r="11" ht="21" customHeight="1">
      <x:c r="A11" s="27" t="d">
        <x:v>2025-11-14T00:00:00.000Z</x:v>
      </x:c>
      <x:c r="B11" s="17" t="str">
        <x:v>SSI</x:v>
      </x:c>
      <x:c r="C11" s="17" t="str">
        <x:v>BUY</x:v>
      </x:c>
      <x:c r="D11" s="22" t="n">
        <x:v>100</x:v>
      </x:c>
      <x:c r="E11" s="22" t="n">
        <x:v>35000</x:v>
      </x:c>
      <x:c r="F11" s="22" t="n">
        <x:v>3500000</x:v>
      </x:c>
      <x:c r="G11" s="22" t="n">
        <x:v>1050</x:v>
      </x:c>
      <x:c r="H11" s="22" t="n">
        <x:v>0</x:v>
      </x:c>
      <x:c r="I11" s="22" t="n">
        <x:v>35011</x:v>
      </x:c>
      <x:c r="J11" s="22" t="n">
        <x:v>0</x:v>
      </x:c>
      <x:c r="K11" s="17" t="str">
        <x:v>TRADES_A</x:v>
      </x:c>
      <x:c r="L11" s="17" t="n">
        <x:v>16</x:v>
      </x:c>
      <x:c r="M11" s="17" t="str">
        <x:v>19d9261081f30127ca160e5c146cb5b83706cf235b3704f8f5bae4efd9ac6b19</x:v>
      </x:c>
      <x:c r="N11" s="17"/>
    </x:row>
    <x:row r="12" ht="21" customHeight="1">
      <x:c r="A12" s="27" t="d">
        <x:v>2026-01-19T00:00:00.000Z</x:v>
      </x:c>
      <x:c r="B12" s="17" t="str">
        <x:v>GAS</x:v>
      </x:c>
      <x:c r="C12" s="17" t="str">
        <x:v>BUY</x:v>
      </x:c>
      <x:c r="D12" s="22" t="n">
        <x:v>100</x:v>
      </x:c>
      <x:c r="E12" s="22" t="n">
        <x:v>103300</x:v>
      </x:c>
      <x:c r="F12" s="22" t="n">
        <x:v>10330000</x:v>
      </x:c>
      <x:c r="G12" s="22" t="n">
        <x:v>3099</x:v>
      </x:c>
      <x:c r="H12" s="22" t="n">
        <x:v>0</x:v>
      </x:c>
      <x:c r="I12" s="22" t="n">
        <x:v>103331</x:v>
      </x:c>
      <x:c r="J12" s="22" t="n">
        <x:v>0</x:v>
      </x:c>
      <x:c r="K12" s="17" t="str">
        <x:v>TRADES_B</x:v>
      </x:c>
      <x:c r="L12" s="17" t="n">
        <x:v>24</x:v>
      </x:c>
      <x:c r="M12" s="17" t="str">
        <x:v>be8c1804fb1f5468f4b17cd91f0bf8848238f6fcf7f8ab4b12434c4ed6f92f62</x:v>
      </x:c>
      <x:c r="N12" s="17"/>
    </x:row>
    <x:row r="13" ht="21" customHeight="1">
      <x:c r="A13" s="27" t="d">
        <x:v>2026-01-19T00:00:00.000Z</x:v>
      </x:c>
      <x:c r="B13" s="17" t="str">
        <x:v>TCB</x:v>
      </x:c>
      <x:c r="C13" s="17" t="str">
        <x:v>BUY</x:v>
      </x:c>
      <x:c r="D13" s="22" t="n">
        <x:v>100</x:v>
      </x:c>
      <x:c r="E13" s="22" t="n">
        <x:v>35900</x:v>
      </x:c>
      <x:c r="F13" s="22" t="n">
        <x:v>3590000</x:v>
      </x:c>
      <x:c r="G13" s="22" t="n">
        <x:v>1077</x:v>
      </x:c>
      <x:c r="H13" s="22" t="n">
        <x:v>0</x:v>
      </x:c>
      <x:c r="I13" s="22" t="n">
        <x:v>35911</x:v>
      </x:c>
      <x:c r="J13" s="22" t="n">
        <x:v>0</x:v>
      </x:c>
      <x:c r="K13" s="17" t="str">
        <x:v>TRADES_B</x:v>
      </x:c>
      <x:c r="L13" s="17" t="n">
        <x:v>25</x:v>
      </x:c>
      <x:c r="M13" s="17" t="str">
        <x:v>be8c1804fb1f5468f4b17cd91f0bf8848238f6fcf7f8ab4b12434c4ed6f92f62</x:v>
      </x:c>
      <x:c r="N13" s="17"/>
    </x:row>
    <x:row r="14" ht="21" customHeight="1">
      <x:c r="A14" s="27" t="d">
        <x:v>2026-03-05T00:00:00.000Z</x:v>
      </x:c>
      <x:c r="B14" s="17" t="str">
        <x:v>MWG</x:v>
      </x:c>
      <x:c r="C14" s="17" t="str">
        <x:v>BUY</x:v>
      </x:c>
      <x:c r="D14" s="22" t="n">
        <x:v>100</x:v>
      </x:c>
      <x:c r="E14" s="22" t="n">
        <x:v>85300</x:v>
      </x:c>
      <x:c r="F14" s="22" t="n">
        <x:v>8530000</x:v>
      </x:c>
      <x:c r="G14" s="22" t="n">
        <x:v>2559</x:v>
      </x:c>
      <x:c r="H14" s="22" t="n">
        <x:v>0</x:v>
      </x:c>
      <x:c r="I14" s="22" t="n">
        <x:v>85326</x:v>
      </x:c>
      <x:c r="J14" s="22" t="n">
        <x:v>0</x:v>
      </x:c>
      <x:c r="K14" s="17" t="str">
        <x:v>TRADES_B</x:v>
      </x:c>
      <x:c r="L14" s="17" t="n">
        <x:v>23</x:v>
      </x:c>
      <x:c r="M14" s="17" t="str">
        <x:v>be8c1804fb1f5468f4b17cd91f0bf8848238f6fcf7f8ab4b12434c4ed6f92f62</x:v>
      </x:c>
      <x:c r="N14" s="17"/>
    </x:row>
    <x:row r="15" ht="21" customHeight="1">
      <x:c r="A15" s="27" t="d">
        <x:v>2026-05-21T00:00:00.000Z</x:v>
      </x:c>
      <x:c r="B15" s="17" t="str">
        <x:v>GAS</x:v>
      </x:c>
      <x:c r="C15" s="17" t="str">
        <x:v>BUY</x:v>
      </x:c>
      <x:c r="D15" s="22" t="n">
        <x:v>100</x:v>
      </x:c>
      <x:c r="E15" s="22" t="n">
        <x:v>87000</x:v>
      </x:c>
      <x:c r="F15" s="22" t="n">
        <x:v>8700000</x:v>
      </x:c>
      <x:c r="G15" s="22" t="n">
        <x:v>2610</x:v>
      </x:c>
      <x:c r="H15" s="22" t="n">
        <x:v>0</x:v>
      </x:c>
      <x:c r="I15" s="22" t="n">
        <x:v>95179</x:v>
      </x:c>
      <x:c r="J15" s="22" t="n">
        <x:v>0</x:v>
      </x:c>
      <x:c r="K15" s="17" t="str">
        <x:v>TRADES_B</x:v>
      </x:c>
      <x:c r="L15" s="17" t="n">
        <x:v>22</x:v>
      </x:c>
      <x:c r="M15" s="17" t="str">
        <x:v>be8c1804fb1f5468f4b17cd91f0bf8848238f6fcf7f8ab4b12434c4ed6f92f62</x:v>
      </x:c>
      <x:c r="N15" s="17"/>
    </x:row>
    <x:row r="16" ht="21" customHeight="1">
      <x:c r="A16" s="27" t="d">
        <x:v>2026-07-09T00:00:00.000Z</x:v>
      </x:c>
      <x:c r="B16" s="17" t="str">
        <x:v>VPL</x:v>
      </x:c>
      <x:c r="C16" s="17" t="str">
        <x:v>BUY</x:v>
      </x:c>
      <x:c r="D16" s="22" t="n">
        <x:v>100</x:v>
      </x:c>
      <x:c r="E16" s="22" t="n">
        <x:v>82300</x:v>
      </x:c>
      <x:c r="F16" s="22" t="n">
        <x:v>8230000</x:v>
      </x:c>
      <x:c r="G16" s="22" t="n">
        <x:v>2469</x:v>
      </x:c>
      <x:c r="H16" s="22" t="n">
        <x:v>0</x:v>
      </x:c>
      <x:c r="I16" s="22" t="n">
        <x:v>82325</x:v>
      </x:c>
      <x:c r="J16" s="22" t="n">
        <x:v>0</x:v>
      </x:c>
      <x:c r="K16" s="17" t="str">
        <x:v>TRADES_B</x:v>
      </x:c>
      <x:c r="L16" s="17" t="n">
        <x:v>21</x:v>
      </x:c>
      <x:c r="M16" s="17" t="str">
        <x:v>be8c1804fb1f5468f4b17cd91f0bf8848238f6fcf7f8ab4b12434c4ed6f92f62</x:v>
      </x:c>
      <x:c r="N16" s="17"/>
    </x:row>
    <x:row r="17" ht="21" customHeight="1">
      <x:c r="A17" s="27" t="d">
        <x:v>2026-07-30T00:00:00.000Z</x:v>
      </x:c>
      <x:c r="B17" s="17" t="str">
        <x:v>FPT</x:v>
      </x:c>
      <x:c r="C17" s="17" t="str">
        <x:v>BUY</x:v>
      </x:c>
      <x:c r="D17" s="22" t="n">
        <x:v>100</x:v>
      </x:c>
      <x:c r="E17" s="22" t="n">
        <x:v>66700</x:v>
      </x:c>
      <x:c r="F17" s="22" t="n">
        <x:v>6670000</x:v>
      </x:c>
      <x:c r="G17" s="22" t="n">
        <x:v>2001</x:v>
      </x:c>
      <x:c r="H17" s="22" t="n">
        <x:v>0</x:v>
      </x:c>
      <x:c r="I17" s="22" t="n">
        <x:v>80325</x:v>
      </x:c>
      <x:c r="J17" s="22" t="n">
        <x:v>0</x:v>
      </x:c>
      <x:c r="K17" s="17" t="str">
        <x:v>TRADES_B</x:v>
      </x:c>
      <x:c r="L17" s="17" t="n">
        <x:v>20</x:v>
      </x:c>
      <x:c r="M17" s="17" t="str">
        <x:v>be8c1804fb1f5468f4b17cd91f0bf8848238f6fcf7f8ab4b12434c4ed6f92f62</x:v>
      </x:c>
      <x:c r="N17" s="17"/>
    </x:row>
    <x:row r="18" ht="21" customHeight="1">
      <x:c r="A18" s="27" t="d">
        <x:v>2026-08-03T00:00:00.000Z</x:v>
      </x:c>
      <x:c r="B18" s="17" t="str">
        <x:v>TPB</x:v>
      </x:c>
      <x:c r="C18" s="17" t="str">
        <x:v>SELL</x:v>
      </x:c>
      <x:c r="D18" s="22" t="n">
        <x:v>100</x:v>
      </x:c>
      <x:c r="E18" s="22" t="n">
        <x:v>14600</x:v>
      </x:c>
      <x:c r="F18" s="22" t="n">
        <x:v>1460000</x:v>
      </x:c>
      <x:c r="G18" s="22" t="n">
        <x:v>438</x:v>
      </x:c>
      <x:c r="H18" s="22" t="n">
        <x:v>3960</x:v>
      </x:c>
      <x:c r="I18" s="22" t="n">
        <x:v>14194</x:v>
      </x:c>
      <x:c r="J18" s="22" t="n">
        <x:v>36202</x:v>
      </x:c>
      <x:c r="K18" s="17" t="str">
        <x:v>TRADES_B</x:v>
      </x:c>
      <x:c r="L18" s="17" t="n">
        <x:v>19</x:v>
      </x:c>
      <x:c r="M18" s="17" t="str">
        <x:v>be8c1804fb1f5468f4b17cd91f0bf8848238f6fcf7f8ab4b12434c4ed6f92f62</x:v>
      </x:c>
      <x:c r="N18" s="17"/>
    </x:row>
    <x:row r="19" ht="21" customHeight="1">
      <x:c r="A19" s="27" t="d">
        <x:v>2026-08-04T00:00:00.000Z</x:v>
      </x:c>
      <x:c r="B19" s="17" t="str">
        <x:v>SSI</x:v>
      </x:c>
      <x:c r="C19" s="17" t="str">
        <x:v>BUY</x:v>
      </x:c>
      <x:c r="D19" s="22" t="n">
        <x:v>100</x:v>
      </x:c>
      <x:c r="E19" s="22" t="n">
        <x:v>24400</x:v>
      </x:c>
      <x:c r="F19" s="22" t="n">
        <x:v>2440000</x:v>
      </x:c>
      <x:c r="G19" s="22" t="n">
        <x:v>732</x:v>
      </x:c>
      <x:c r="H19" s="22" t="n">
        <x:v>0</x:v>
      </x:c>
      <x:c r="I19" s="22" t="n">
        <x:v>29709</x:v>
      </x:c>
      <x:c r="J19" s="22" t="n">
        <x:v>0</x:v>
      </x:c>
      <x:c r="K19" s="17" t="str">
        <x:v>TRADES_B</x:v>
      </x:c>
      <x:c r="L19" s="17" t="n">
        <x:v>17</x:v>
      </x:c>
      <x:c r="M19" s="17" t="str">
        <x:v>be8c1804fb1f5468f4b17cd91f0bf8848238f6fcf7f8ab4b12434c4ed6f92f62</x:v>
      </x:c>
      <x:c r="N19" s="17"/>
    </x:row>
    <x:row r="20" ht="21" customHeight="1">
      <x:c r="A20" s="27" t="d">
        <x:v>2026-08-04T00:00:00.000Z</x:v>
      </x:c>
      <x:c r="B20" s="17" t="str">
        <x:v>TPB</x:v>
      </x:c>
      <x:c r="C20" s="17" t="str">
        <x:v>SELL</x:v>
      </x:c>
      <x:c r="D20" s="22" t="n">
        <x:v>5</x:v>
      </x:c>
      <x:c r="E20" s="22" t="n">
        <x:v>14400</x:v>
      </x:c>
      <x:c r="F20" s="22" t="n">
        <x:v>72000</x:v>
      </x:c>
      <x:c r="G20" s="22" t="n">
        <x:v>21</x:v>
      </x:c>
      <x:c r="H20" s="22" t="n">
        <x:v>72</x:v>
      </x:c>
      <x:c r="I20" s="22" t="n">
        <x:v>14194</x:v>
      </x:c>
      <x:c r="J20" s="22" t="n">
        <x:v>937</x:v>
      </x:c>
      <x:c r="K20" s="17" t="str">
        <x:v>TRADES_B</x:v>
      </x:c>
      <x:c r="L20" s="17" t="n">
        <x:v>18</x:v>
      </x:c>
      <x:c r="M20" s="17" t="str">
        <x:v>be8c1804fb1f5468f4b17cd91f0bf8848238f6fcf7f8ab4b12434c4ed6f92f62</x:v>
      </x:c>
      <x:c r="N20" s="17"/>
    </x:row>
    <x:row r="21" ht="21" customHeight="1">
      <x:c r="A21" s="27" t="d">
        <x:v>2026-08-17T00:00:00.000Z</x:v>
      </x:c>
      <x:c r="B21" s="17" t="str">
        <x:v>MBB</x:v>
      </x:c>
      <x:c r="C21" s="17" t="str">
        <x:v>BUY</x:v>
      </x:c>
      <x:c r="D21" s="22" t="n">
        <x:v>100</x:v>
      </x:c>
      <x:c r="E21" s="22" t="n">
        <x:v>20100</x:v>
      </x:c>
      <x:c r="F21" s="22" t="n">
        <x:v>2010000</x:v>
      </x:c>
      <x:c r="G21" s="22" t="n">
        <x:v>603</x:v>
      </x:c>
      <x:c r="H21" s="22" t="n">
        <x:v>0</x:v>
      </x:c>
      <x:c r="I21" s="22" t="n">
        <x:v>20106</x:v>
      </x:c>
      <x:c r="J21" s="22" t="n">
        <x:v>0</x:v>
      </x:c>
      <x:c r="K21" s="17" t="str">
        <x:v>TRADES_B</x:v>
      </x:c>
      <x:c r="L21" s="17" t="n">
        <x:v>16</x:v>
      </x:c>
      <x:c r="M21" s="17" t="str">
        <x:v>be8c1804fb1f5468f4b17cd91f0bf8848238f6fcf7f8ab4b12434c4ed6f92f62</x:v>
      </x:c>
      <x:c r="N21" s="17"/>
    </x:row>
    <x:row r="22" ht="21" customHeight="1">
      <x:c r="A22" s="28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 ht="21" customHeight="1">
      <x:c r="A23" s="28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 ht="21" customHeight="1">
      <x:c r="A24" s="28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 ht="21" customHeight="1">
      <x:c r="A25" s="28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 ht="21" customHeight="1">
      <x:c r="A26" s="28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 ht="21" customHeight="1">
      <x:c r="A27" s="28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 ht="21" customHeight="1">
      <x:c r="A28" s="28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 ht="21" customHeight="1">
      <x:c r="A29" s="28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 ht="21" customHeight="1">
      <x:c r="A30" s="28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 ht="21" customHeight="1">
      <x:c r="A31" s="28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 ht="21" customHeight="1">
      <x:c r="A32" s="28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 ht="21" customHeight="1">
      <x:c r="A33" s="28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 ht="21" customHeight="1">
      <x:c r="A34" s="28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 ht="21" customHeight="1">
      <x:c r="A35" s="28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 ht="21" customHeight="1">
      <x:c r="A36" s="28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 ht="21" customHeight="1">
      <x:c r="A37" s="28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 ht="21" customHeight="1">
      <x:c r="A38" s="28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 ht="21" customHeight="1">
      <x:c r="A39" s="28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 ht="21" customHeight="1">
      <x:c r="A40" s="28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  <x:row r="41" ht="21" customHeight="1">
      <x:c r="A41" s="28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</x:row>
    <x:row r="42" ht="21" customHeight="1">
      <x:c r="A42" s="28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</x:row>
    <x:row r="43" ht="21" customHeight="1">
      <x:c r="A43" s="28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</x:row>
    <x:row r="44" ht="21" customHeight="1">
      <x:c r="A44" s="28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</x:row>
    <x:row r="45" ht="21" customHeight="1">
      <x:c r="A45" s="28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</x:row>
    <x:row r="46" ht="21" customHeight="1">
      <x:c r="A46" s="28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</x:row>
    <x:row r="47" ht="21" customHeight="1">
      <x:c r="A47" s="28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</x:row>
    <x:row r="48" ht="21" customHeight="1">
      <x:c r="A48" s="28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</x:row>
    <x:row r="49" ht="21" customHeight="1">
      <x:c r="A49" s="28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</x:row>
    <x:row r="50" ht="21" customHeight="1">
      <x:c r="A50" s="28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</x:row>
    <x:row r="51" ht="21" customHeight="1">
      <x:c r="A51" s="28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</x:row>
    <x:row r="52" ht="21" customHeight="1">
      <x:c r="A52" s="28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</x:row>
    <x:row r="53" ht="21" customHeight="1">
      <x:c r="A53" s="28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</x:row>
    <x:row r="54" ht="21" customHeight="1">
      <x:c r="A54" s="28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</x:row>
    <x:row r="55" ht="21" customHeight="1">
      <x:c r="A55" s="28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</x:row>
    <x:row r="56" ht="21" customHeight="1">
      <x:c r="A56" s="28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</x:row>
    <x:row r="57" ht="21" customHeight="1">
      <x:c r="A57" s="28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</x:row>
    <x:row r="58" ht="21" customHeight="1">
      <x:c r="A58" s="28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</x:row>
    <x:row r="59" ht="21" customHeight="1">
      <x:c r="A59" s="28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</x:row>
    <x:row r="60" ht="21" customHeight="1">
      <x:c r="A60" s="28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</x:row>
    <x:row r="61" ht="21" customHeight="1">
      <x:c r="A61" s="28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</x:row>
    <x:row r="62" ht="21" customHeight="1">
      <x:c r="A62" s="28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</x:row>
    <x:row r="63" ht="21" customHeight="1">
      <x:c r="A63" s="28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</x:row>
    <x:row r="64" ht="21" customHeight="1">
      <x:c r="A64" s="28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</x:row>
    <x:row r="65" ht="21" customHeight="1">
      <x:c r="A65" s="28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</x:row>
    <x:row r="66" ht="21" customHeight="1">
      <x:c r="A66" s="28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</x:row>
    <x:row r="67" ht="21" customHeight="1">
      <x:c r="A67" s="28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</x:row>
    <x:row r="68" ht="21" customHeight="1">
      <x:c r="A68" s="28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</x:row>
    <x:row r="69" ht="21" customHeight="1">
      <x:c r="A69" s="28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</x:row>
    <x:row r="70" ht="21" customHeight="1">
      <x:c r="A70" s="28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</x:row>
    <x:row r="71" ht="21" customHeight="1">
      <x:c r="A71" s="28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</x:row>
    <x:row r="72" ht="21" customHeight="1">
      <x:c r="A72" s="28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</x:row>
    <x:row r="73" ht="21" customHeight="1">
      <x:c r="A73" s="28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</x:row>
    <x:row r="74" ht="21" customHeight="1">
      <x:c r="A74" s="28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</x:row>
    <x:row r="75" ht="21" customHeight="1">
      <x:c r="A75" s="28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</x:row>
    <x:row r="76" ht="21" customHeight="1">
      <x:c r="A76" s="28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</x:row>
    <x:row r="77" ht="21" customHeight="1">
      <x:c r="A77" s="28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</x:row>
    <x:row r="78" ht="21" customHeight="1">
      <x:c r="A78" s="28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</x:row>
    <x:row r="79" ht="21" customHeight="1">
      <x:c r="A79" s="28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</x:row>
    <x:row r="80" ht="21" customHeight="1">
      <x:c r="A80" s="28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</x:row>
    <x:row r="81" ht="21" customHeight="1">
      <x:c r="A81" s="28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</x:row>
    <x:row r="82" ht="21" customHeight="1">
      <x:c r="A82" s="28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</x:row>
    <x:row r="83" ht="21" customHeight="1">
      <x:c r="A83" s="28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</x:row>
    <x:row r="84" ht="21" customHeight="1">
      <x:c r="A84" s="28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</x:row>
    <x:row r="85" ht="21" customHeight="1">
      <x:c r="A85" s="28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</x:row>
    <x:row r="86" ht="21" customHeight="1">
      <x:c r="A86" s="28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</x:row>
    <x:row r="87" ht="21" customHeight="1">
      <x:c r="A87" s="28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</x:row>
    <x:row r="88" ht="21" customHeight="1">
      <x:c r="A88" s="28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</x:row>
    <x:row r="89" ht="21" customHeight="1">
      <x:c r="A89" s="28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</x:row>
    <x:row r="90" ht="21" customHeight="1">
      <x:c r="A90" s="28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</x:row>
    <x:row r="91" ht="21" customHeight="1">
      <x:c r="A91" s="28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</x:row>
    <x:row r="92" ht="21" customHeight="1">
      <x:c r="A92" s="28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</x:row>
    <x:row r="93" ht="21" customHeight="1">
      <x:c r="A93" s="28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</x:row>
    <x:row r="94" ht="21" customHeight="1">
      <x:c r="A94" s="28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</x:row>
    <x:row r="95" ht="21" customHeight="1">
      <x:c r="A95" s="28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</x:row>
    <x:row r="96" ht="21" customHeight="1">
      <x:c r="A96" s="28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</x:row>
    <x:row r="97" ht="21" customHeight="1">
      <x:c r="A97" s="28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</x:row>
    <x:row r="98" ht="21" customHeight="1">
      <x:c r="A98" s="28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</x:row>
    <x:row r="99" ht="21" customHeight="1">
      <x:c r="A99" s="28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</x:row>
    <x:row r="100" ht="21" customHeight="1">
      <x:c r="A100" s="28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</x:row>
    <x:row r="101" ht="21" customHeight="1">
      <x:c r="A101" s="28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</x:row>
    <x:row r="102" ht="21" customHeight="1">
      <x:c r="A102" s="28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</x:row>
    <x:row r="103" ht="21" customHeight="1">
      <x:c r="A103" s="28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</x:row>
    <x:row r="104" ht="21" customHeight="1">
      <x:c r="A104" s="28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</x:row>
    <x:row r="105" ht="21" customHeight="1">
      <x:c r="A105" s="28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</x:row>
    <x:row r="106" ht="21" customHeight="1">
      <x:c r="A106" s="28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</x:row>
    <x:row r="107" ht="21" customHeight="1">
      <x:c r="A107" s="28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</x:row>
    <x:row r="108" ht="21" customHeight="1">
      <x:c r="A108" s="28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</x:row>
    <x:row r="109" ht="21" customHeight="1">
      <x:c r="A109" s="28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</x:row>
    <x:row r="110" ht="21" customHeight="1">
      <x:c r="A110" s="28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</x:row>
    <x:row r="111" ht="21" customHeight="1">
      <x:c r="A111" s="28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</x:row>
    <x:row r="112" ht="21" customHeight="1">
      <x:c r="A112" s="28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</x:row>
    <x:row r="113" ht="21" customHeight="1">
      <x:c r="A113" s="28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</x:row>
    <x:row r="114" ht="21" customHeight="1">
      <x:c r="A114" s="28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</x:row>
    <x:row r="115" ht="21" customHeight="1">
      <x:c r="A115" s="28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</x:row>
    <x:row r="116" ht="21" customHeight="1">
      <x:c r="A116" s="28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</x:row>
    <x:row r="117" ht="21" customHeight="1">
      <x:c r="A117" s="28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</x:row>
    <x:row r="118" ht="21" customHeight="1">
      <x:c r="A118" s="28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</x:row>
    <x:row r="119" ht="21" customHeight="1">
      <x:c r="A119" s="28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</x:row>
    <x:row r="120" ht="21" customHeight="1">
      <x:c r="A120" s="28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</x:row>
    <x:row r="121" ht="21" customHeight="1">
      <x:c r="A121" s="28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</x:row>
    <x:row r="122" ht="21" customHeight="1">
      <x:c r="A122" s="28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</x:row>
    <x:row r="123" ht="21" customHeight="1">
      <x:c r="A123" s="28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</x:row>
    <x:row r="124" ht="21" customHeight="1">
      <x:c r="A124" s="28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</x:row>
    <x:row r="125" ht="21" customHeight="1">
      <x:c r="A125" s="28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</x:row>
    <x:row r="126" ht="21" customHeight="1">
      <x:c r="A126" s="28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</x:row>
    <x:row r="127" ht="21" customHeight="1">
      <x:c r="A127" s="28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</x:row>
    <x:row r="128" ht="21" customHeight="1">
      <x:c r="A128" s="28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</x:row>
    <x:row r="129" ht="21" customHeight="1">
      <x:c r="A129" s="28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</x:row>
    <x:row r="130" ht="21" customHeight="1">
      <x:c r="A130" s="28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</x:row>
    <x:row r="131" ht="21" customHeight="1">
      <x:c r="A131" s="28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</x:row>
    <x:row r="132" ht="21" customHeight="1">
      <x:c r="A132" s="28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</x:row>
    <x:row r="133" ht="21" customHeight="1">
      <x:c r="A133" s="28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</x:row>
    <x:row r="134" ht="21" customHeight="1">
      <x:c r="A134" s="28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</x:row>
    <x:row r="135" ht="21" customHeight="1">
      <x:c r="A135" s="28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</x:row>
    <x:row r="136" ht="21" customHeight="1">
      <x:c r="A136" s="28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</x:row>
    <x:row r="137" ht="21" customHeight="1">
      <x:c r="A137" s="28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</x:row>
    <x:row r="138" ht="21" customHeight="1">
      <x:c r="A138" s="28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</x:row>
    <x:row r="139" ht="21" customHeight="1">
      <x:c r="A139" s="28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</x:row>
    <x:row r="140" ht="21" customHeight="1">
      <x:c r="A140" s="28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</x:row>
    <x:row r="141" ht="21" customHeight="1">
      <x:c r="A141" s="28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</x:row>
    <x:row r="142" ht="21" customHeight="1">
      <x:c r="A142" s="28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</x:row>
    <x:row r="143" ht="21" customHeight="1">
      <x:c r="A143" s="28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</x:row>
    <x:row r="144" ht="21" customHeight="1">
      <x:c r="A144" s="28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</x:row>
    <x:row r="145" ht="21" customHeight="1">
      <x:c r="A145" s="28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</x:row>
    <x:row r="146" ht="21" customHeight="1">
      <x:c r="A146" s="28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</x:row>
    <x:row r="147" ht="21" customHeight="1">
      <x:c r="A147" s="28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</x:row>
    <x:row r="148" ht="21" customHeight="1">
      <x:c r="A148" s="28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</x:row>
    <x:row r="149" ht="21" customHeight="1">
      <x:c r="A149" s="28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</x:row>
    <x:row r="150" ht="21" customHeight="1">
      <x:c r="A150" s="28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</x:row>
    <x:row r="151" ht="21" customHeight="1">
      <x:c r="A151" s="28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</x:row>
    <x:row r="152" ht="21" customHeight="1">
      <x:c r="A152" s="28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</x:row>
    <x:row r="153" ht="21" customHeight="1">
      <x:c r="A153" s="28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</x:row>
    <x:row r="154" ht="21" customHeight="1">
      <x:c r="A154" s="28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</x:row>
    <x:row r="155" ht="21" customHeight="1">
      <x:c r="A155" s="28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</x:row>
    <x:row r="156" ht="21" customHeight="1">
      <x:c r="A156" s="28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</x:row>
    <x:row r="157" ht="21" customHeight="1">
      <x:c r="A157" s="28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</x:row>
    <x:row r="158" ht="21" customHeight="1">
      <x:c r="A158" s="28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</x:row>
    <x:row r="159" ht="21" customHeight="1">
      <x:c r="A159" s="28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</x:row>
    <x:row r="160" ht="21" customHeight="1">
      <x:c r="A160" s="28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</x:row>
    <x:row r="161" ht="21" customHeight="1">
      <x:c r="A161" s="28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</x:row>
    <x:row r="162" ht="21" customHeight="1">
      <x:c r="A162" s="28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</x:row>
    <x:row r="163" ht="21" customHeight="1">
      <x:c r="A163" s="28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</x:row>
    <x:row r="164" ht="21" customHeight="1">
      <x:c r="A164" s="28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</x:row>
    <x:row r="165" ht="21" customHeight="1">
      <x:c r="A165" s="28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</x:row>
    <x:row r="166" ht="21" customHeight="1">
      <x:c r="A166" s="28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</x:row>
    <x:row r="167" ht="21" customHeight="1">
      <x:c r="A167" s="28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</x:row>
    <x:row r="168" ht="21" customHeight="1">
      <x:c r="A168" s="28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</x:row>
    <x:row r="169" ht="21" customHeight="1">
      <x:c r="A169" s="28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</x:row>
    <x:row r="170" ht="21" customHeight="1">
      <x:c r="A170" s="28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</x:row>
    <x:row r="171" ht="21" customHeight="1">
      <x:c r="A171" s="28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</x:row>
    <x:row r="172" ht="21" customHeight="1">
      <x:c r="A172" s="28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</x:row>
    <x:row r="173" ht="21" customHeight="1">
      <x:c r="A173" s="28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</x:row>
    <x:row r="174" ht="21" customHeight="1">
      <x:c r="A174" s="28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</x:row>
    <x:row r="175" ht="21" customHeight="1">
      <x:c r="A175" s="28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</x:row>
    <x:row r="176" ht="21" customHeight="1">
      <x:c r="A176" s="28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</x:row>
    <x:row r="177" ht="21" customHeight="1">
      <x:c r="A177" s="28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</x:row>
    <x:row r="178" ht="21" customHeight="1">
      <x:c r="A178" s="28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</x:row>
    <x:row r="179" ht="21" customHeight="1">
      <x:c r="A179" s="28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</x:row>
    <x:row r="180" ht="21" customHeight="1">
      <x:c r="A180" s="28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</x:row>
    <x:row r="181" ht="21" customHeight="1">
      <x:c r="A181" s="28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</x:row>
    <x:row r="182" ht="21" customHeight="1">
      <x:c r="A182" s="28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</x:row>
    <x:row r="183" ht="21" customHeight="1">
      <x:c r="A183" s="28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</x:row>
    <x:row r="184" ht="21" customHeight="1">
      <x:c r="A184" s="28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</x:row>
    <x:row r="185" ht="21" customHeight="1">
      <x:c r="A185" s="28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</x:row>
    <x:row r="186" ht="21" customHeight="1">
      <x:c r="A186" s="28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</x:row>
    <x:row r="187" ht="21" customHeight="1">
      <x:c r="A187" s="28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</x:row>
    <x:row r="188" ht="21" customHeight="1">
      <x:c r="A188" s="28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</x:row>
    <x:row r="189" ht="21" customHeight="1">
      <x:c r="A189" s="28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</x:row>
    <x:row r="190" ht="21" customHeight="1">
      <x:c r="A190" s="28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</x:row>
    <x:row r="191" ht="21" customHeight="1">
      <x:c r="A191" s="28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</x:row>
    <x:row r="192" ht="21" customHeight="1">
      <x:c r="A192" s="28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</x:row>
    <x:row r="193" ht="21" customHeight="1">
      <x:c r="A193" s="28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</x:row>
    <x:row r="194" ht="21" customHeight="1">
      <x:c r="A194" s="28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</x:row>
    <x:row r="195" ht="21" customHeight="1">
      <x:c r="A195" s="28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</x:row>
    <x:row r="196" ht="21" customHeight="1">
      <x:c r="A196" s="28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</x:row>
    <x:row r="197" ht="21" customHeight="1">
      <x:c r="A197" s="28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</x:row>
    <x:row r="198" ht="21" customHeight="1">
      <x:c r="A198" s="28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</x:row>
    <x:row r="199" ht="21" customHeight="1">
      <x:c r="A199" s="28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</x:row>
    <x:row r="200" ht="21" customHeight="1">
      <x:c r="A200" s="28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</x:row>
    <x:row r="201" ht="21" customHeight="1">
      <x:c r="A201" s="28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</x:row>
    <x:row r="202" ht="21" customHeight="1">
      <x:c r="A202" s="28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</x:row>
    <x:row r="203" ht="21" customHeight="1">
      <x:c r="A203" s="28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</x:row>
    <x:row r="204" ht="21" customHeight="1">
      <x:c r="A204" s="28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</x:row>
    <x:row r="205" ht="21" customHeight="1">
      <x:c r="A205" s="28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</x:row>
    <x:row r="206" ht="21" customHeight="1">
      <x:c r="A206" s="28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</x:row>
    <x:row r="207" ht="21" customHeight="1">
      <x:c r="A207" s="28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</x:row>
    <x:row r="208" ht="21" customHeight="1">
      <x:c r="A208" s="28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</x:row>
    <x:row r="209" ht="21" customHeight="1">
      <x:c r="A209" s="28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</x:row>
    <x:row r="210" ht="21" customHeight="1">
      <x:c r="A210" s="28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</x:row>
    <x:row r="211" ht="21" customHeight="1">
      <x:c r="A211" s="28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</x:row>
    <x:row r="212" ht="21" customHeight="1">
      <x:c r="A212" s="28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</x:row>
    <x:row r="213" ht="21" customHeight="1">
      <x:c r="A213" s="28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</x:row>
    <x:row r="214" ht="21" customHeight="1">
      <x:c r="A214" s="28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</x:row>
    <x:row r="215" ht="21" customHeight="1">
      <x:c r="A215" s="28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</x:row>
    <x:row r="216" ht="21" customHeight="1">
      <x:c r="A216" s="28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</x:row>
    <x:row r="217" ht="21" customHeight="1">
      <x:c r="A217" s="28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</x:row>
    <x:row r="218" ht="21" customHeight="1">
      <x:c r="A218" s="28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</x:row>
    <x:row r="219" ht="21" customHeight="1">
      <x:c r="A219" s="28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</x:row>
    <x:row r="220" ht="21" customHeight="1">
      <x:c r="A220" s="28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</x:row>
    <x:row r="221" ht="21" customHeight="1">
      <x:c r="A221" s="28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</x:row>
    <x:row r="222" ht="21" customHeight="1">
      <x:c r="A222" s="28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</x:row>
    <x:row r="223" ht="21" customHeight="1">
      <x:c r="A223" s="28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</x:row>
    <x:row r="224" ht="21" customHeight="1">
      <x:c r="A224" s="28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</x:row>
    <x:row r="225" ht="21" customHeight="1">
      <x:c r="A225" s="28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</x:row>
    <x:row r="226" ht="21" customHeight="1">
      <x:c r="A226" s="28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</x:row>
    <x:row r="227" ht="21" customHeight="1">
      <x:c r="A227" s="28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</x:row>
    <x:row r="228" ht="21" customHeight="1">
      <x:c r="A228" s="28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</x:row>
    <x:row r="229" ht="21" customHeight="1">
      <x:c r="A229" s="28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</x:row>
    <x:row r="230" ht="21" customHeight="1">
      <x:c r="A230" s="28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</x:row>
    <x:row r="231" ht="21" customHeight="1">
      <x:c r="A231" s="28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</x:row>
    <x:row r="232" ht="21" customHeight="1">
      <x:c r="A232" s="28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</x:row>
    <x:row r="233" ht="21" customHeight="1">
      <x:c r="A233" s="28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</x:row>
    <x:row r="234" ht="21" customHeight="1">
      <x:c r="A234" s="28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</x:row>
    <x:row r="235" ht="21" customHeight="1">
      <x:c r="A235" s="28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</x:row>
    <x:row r="236" ht="21" customHeight="1">
      <x:c r="A236" s="28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</x:row>
    <x:row r="237" ht="21" customHeight="1">
      <x:c r="A237" s="28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</x:row>
    <x:row r="238" ht="21" customHeight="1">
      <x:c r="A238" s="28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</x:row>
    <x:row r="239" ht="21" customHeight="1">
      <x:c r="A239" s="28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</x:row>
    <x:row r="240" ht="21" customHeight="1">
      <x:c r="A240" s="28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</x:row>
    <x:row r="241" ht="21" customHeight="1">
      <x:c r="A241" s="28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</x:row>
    <x:row r="242" ht="21" customHeight="1">
      <x:c r="A242" s="28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</x:row>
    <x:row r="243" ht="21" customHeight="1">
      <x:c r="A243" s="28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</x:row>
    <x:row r="244" ht="21" customHeight="1">
      <x:c r="A244" s="28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</x:row>
    <x:row r="245" ht="21" customHeight="1">
      <x:c r="A245" s="28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</x:row>
    <x:row r="246" ht="21" customHeight="1">
      <x:c r="A246" s="28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</x:row>
    <x:row r="247" ht="21" customHeight="1">
      <x:c r="A247" s="28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</x:row>
    <x:row r="248" ht="21" customHeight="1">
      <x:c r="A248" s="28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</x:row>
    <x:row r="249" ht="21" customHeight="1">
      <x:c r="A249" s="28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</x:row>
    <x:row r="250" ht="21" customHeight="1">
      <x:c r="A250" s="28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</x:row>
    <x:row r="251" ht="21" customHeight="1">
      <x:c r="A251" s="28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</x:row>
    <x:row r="252" ht="21" customHeight="1">
      <x:c r="A252" s="28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</x:row>
    <x:row r="253" ht="21" customHeight="1">
      <x:c r="A253" s="28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</x:row>
    <x:row r="254" ht="21" customHeight="1">
      <x:c r="A254" s="28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</x:row>
    <x:row r="255" ht="21" customHeight="1">
      <x:c r="A255" s="28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</x:row>
    <x:row r="256" ht="21" customHeight="1">
      <x:c r="A256" s="28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</x:row>
    <x:row r="257" ht="21" customHeight="1">
      <x:c r="A257" s="28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</x:row>
    <x:row r="258" ht="21" customHeight="1">
      <x:c r="A258" s="28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</x:row>
    <x:row r="259" ht="21" customHeight="1">
      <x:c r="A259" s="28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</x:row>
    <x:row r="260" ht="21" customHeight="1">
      <x:c r="A260" s="28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</x:row>
    <x:row r="261" ht="21" customHeight="1">
      <x:c r="A261" s="28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</x:row>
    <x:row r="262" ht="21" customHeight="1">
      <x:c r="A262" s="28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</x:row>
    <x:row r="263" ht="21" customHeight="1">
      <x:c r="A263" s="28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</x:row>
    <x:row r="264" ht="21" customHeight="1">
      <x:c r="A264" s="28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</x:row>
    <x:row r="265" ht="21" customHeight="1">
      <x:c r="A265" s="28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</x:row>
    <x:row r="266" ht="21" customHeight="1">
      <x:c r="A266" s="28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</x:row>
    <x:row r="267" ht="21" customHeight="1">
      <x:c r="A267" s="28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</x:row>
    <x:row r="268" ht="21" customHeight="1">
      <x:c r="A268" s="28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</x:row>
    <x:row r="269" ht="21" customHeight="1">
      <x:c r="A269" s="28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</x:row>
    <x:row r="270" ht="21" customHeight="1">
      <x:c r="A270" s="28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</x:row>
    <x:row r="271" ht="21" customHeight="1">
      <x:c r="A271" s="28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</x:row>
    <x:row r="272" ht="21" customHeight="1">
      <x:c r="A272" s="28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</x:row>
    <x:row r="273" ht="21" customHeight="1">
      <x:c r="A273" s="28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</x:row>
    <x:row r="274" ht="21" customHeight="1">
      <x:c r="A274" s="28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</x:row>
    <x:row r="275" ht="21" customHeight="1">
      <x:c r="A275" s="28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</x:row>
    <x:row r="276" ht="21" customHeight="1">
      <x:c r="A276" s="28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</x:row>
    <x:row r="277" ht="21" customHeight="1">
      <x:c r="A277" s="28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</x:row>
    <x:row r="278" ht="21" customHeight="1">
      <x:c r="A278" s="28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</x:row>
    <x:row r="279" ht="21" customHeight="1">
      <x:c r="A279" s="28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</x:row>
    <x:row r="280" ht="21" customHeight="1">
      <x:c r="A280" s="28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</x:row>
    <x:row r="281" ht="21" customHeight="1">
      <x:c r="A281" s="28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</x:row>
    <x:row r="282" ht="21" customHeight="1">
      <x:c r="A282" s="28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</x:row>
    <x:row r="283" ht="21" customHeight="1">
      <x:c r="A283" s="28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</x:row>
    <x:row r="284" ht="21" customHeight="1">
      <x:c r="A284" s="28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</x:row>
    <x:row r="285" ht="21" customHeight="1">
      <x:c r="A285" s="28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</x:row>
    <x:row r="286" ht="21" customHeight="1">
      <x:c r="A286" s="28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</x:row>
    <x:row r="287" ht="21" customHeight="1">
      <x:c r="A287" s="28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</x:row>
    <x:row r="288" ht="21" customHeight="1">
      <x:c r="A288" s="28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</x:row>
    <x:row r="289" ht="21" customHeight="1">
      <x:c r="A289" s="28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</x:row>
    <x:row r="290" ht="21" customHeight="1">
      <x:c r="A290" s="28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</x:row>
    <x:row r="291" ht="21" customHeight="1">
      <x:c r="A291" s="28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</x:row>
    <x:row r="292" ht="21" customHeight="1">
      <x:c r="A292" s="28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</x:row>
    <x:row r="293" ht="21" customHeight="1">
      <x:c r="A293" s="28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</x:row>
    <x:row r="294" ht="21" customHeight="1">
      <x:c r="A294" s="28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</x:row>
    <x:row r="295" ht="21" customHeight="1">
      <x:c r="A295" s="28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</x:row>
    <x:row r="296" ht="21" customHeight="1">
      <x:c r="A296" s="28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</x:row>
    <x:row r="297" ht="21" customHeight="1">
      <x:c r="A297" s="28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</x:row>
    <x:row r="298" ht="21" customHeight="1">
      <x:c r="A298" s="28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</x:row>
    <x:row r="299" ht="21" customHeight="1">
      <x:c r="A299" s="28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</x:row>
    <x:row r="300" ht="21" customHeight="1">
      <x:c r="A300" s="28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</x:row>
    <x:row r="301" ht="21" customHeight="1">
      <x:c r="A301" s="28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</x:row>
    <x:row r="302" ht="21" customHeight="1">
      <x:c r="A302" s="28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</x:row>
    <x:row r="303" ht="21" customHeight="1">
      <x:c r="A303" s="28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</x:row>
    <x:row r="304" ht="21" customHeight="1">
      <x:c r="A304" s="28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</x:row>
    <x:row r="305" ht="21" customHeight="1">
      <x:c r="A305" s="28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</x:row>
    <x:row r="306" ht="21" customHeight="1">
      <x:c r="A306" s="28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</x:row>
    <x:row r="307" ht="21" customHeight="1">
      <x:c r="A307" s="28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</x:row>
    <x:row r="308" ht="21" customHeight="1">
      <x:c r="A308" s="28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</x:row>
    <x:row r="309" ht="21" customHeight="1">
      <x:c r="A309" s="28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</x:row>
    <x:row r="310" ht="21" customHeight="1">
      <x:c r="A310" s="28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</x:row>
    <x:row r="311" ht="21" customHeight="1">
      <x:c r="A311" s="28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</x:row>
    <x:row r="312" ht="21" customHeight="1">
      <x:c r="A312" s="28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</x:row>
    <x:row r="313" ht="21" customHeight="1">
      <x:c r="A313" s="28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</x:row>
    <x:row r="314" ht="21" customHeight="1">
      <x:c r="A314" s="28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</x:row>
    <x:row r="315" ht="21" customHeight="1">
      <x:c r="A315" s="28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</x:row>
    <x:row r="316" ht="21" customHeight="1">
      <x:c r="A316" s="28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</x:row>
    <x:row r="317" ht="21" customHeight="1">
      <x:c r="A317" s="28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</x:row>
    <x:row r="318" ht="21" customHeight="1">
      <x:c r="A318" s="28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</x:row>
    <x:row r="319" ht="21" customHeight="1">
      <x:c r="A319" s="28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</x:row>
    <x:row r="320" ht="21" customHeight="1">
      <x:c r="A320" s="28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</x:row>
    <x:row r="321" ht="21" customHeight="1">
      <x:c r="A321" s="28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</x:row>
    <x:row r="322" ht="21" customHeight="1">
      <x:c r="A322" s="28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</x:row>
    <x:row r="323" ht="21" customHeight="1">
      <x:c r="A323" s="28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</x:row>
    <x:row r="324" ht="21" customHeight="1">
      <x:c r="A324" s="28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</x:row>
    <x:row r="325" ht="21" customHeight="1">
      <x:c r="A325" s="28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</x:row>
    <x:row r="326" ht="21" customHeight="1">
      <x:c r="A326" s="28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</x:row>
    <x:row r="327" ht="21" customHeight="1">
      <x:c r="A327" s="28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</x:row>
    <x:row r="328" ht="21" customHeight="1">
      <x:c r="A328" s="28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</x:row>
    <x:row r="329" ht="21" customHeight="1">
      <x:c r="A329" s="28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</x:row>
    <x:row r="330" ht="21" customHeight="1">
      <x:c r="A330" s="28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</x:row>
    <x:row r="331" ht="21" customHeight="1">
      <x:c r="A331" s="28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</x:row>
    <x:row r="332" ht="21" customHeight="1">
      <x:c r="A332" s="28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</x:row>
    <x:row r="333" ht="21" customHeight="1">
      <x:c r="A333" s="28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</x:row>
    <x:row r="334" ht="21" customHeight="1">
      <x:c r="A334" s="28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</x:row>
    <x:row r="335" ht="21" customHeight="1">
      <x:c r="A335" s="28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</x:row>
    <x:row r="336" ht="21" customHeight="1">
      <x:c r="A336" s="28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</x:row>
    <x:row r="337" ht="21" customHeight="1">
      <x:c r="A337" s="28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</x:row>
    <x:row r="338" ht="21" customHeight="1">
      <x:c r="A338" s="28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</x:row>
    <x:row r="339" ht="21" customHeight="1">
      <x:c r="A339" s="28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</x:row>
    <x:row r="340" ht="21" customHeight="1">
      <x:c r="A340" s="28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</x:row>
    <x:row r="341" ht="21" customHeight="1">
      <x:c r="A341" s="28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</x:row>
    <x:row r="342" ht="21" customHeight="1">
      <x:c r="A342" s="28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</x:row>
    <x:row r="343" ht="21" customHeight="1">
      <x:c r="A343" s="28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</x:row>
    <x:row r="344" ht="21" customHeight="1">
      <x:c r="A344" s="28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</x:row>
    <x:row r="345" ht="21" customHeight="1">
      <x:c r="A345" s="28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</x:row>
    <x:row r="346" ht="21" customHeight="1">
      <x:c r="A346" s="28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</x:row>
    <x:row r="347" ht="21" customHeight="1">
      <x:c r="A347" s="28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</x:row>
    <x:row r="348" ht="21" customHeight="1">
      <x:c r="A348" s="28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</x:row>
    <x:row r="349" ht="21" customHeight="1">
      <x:c r="A349" s="28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</x:row>
    <x:row r="350" ht="21" customHeight="1">
      <x:c r="A350" s="28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</x:row>
    <x:row r="351" ht="21" customHeight="1">
      <x:c r="A351" s="28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</x:row>
    <x:row r="352" ht="21" customHeight="1">
      <x:c r="A352" s="28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</x:row>
    <x:row r="353" ht="21" customHeight="1">
      <x:c r="A353" s="28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</x:row>
    <x:row r="354" ht="21" customHeight="1">
      <x:c r="A354" s="28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</x:row>
    <x:row r="355" ht="21" customHeight="1">
      <x:c r="A355" s="28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</x:row>
    <x:row r="356" ht="21" customHeight="1">
      <x:c r="A356" s="28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</x:row>
    <x:row r="357" ht="21" customHeight="1">
      <x:c r="A357" s="28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</x:row>
    <x:row r="358" ht="21" customHeight="1">
      <x:c r="A358" s="28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</x:row>
    <x:row r="359" ht="21" customHeight="1">
      <x:c r="A359" s="28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</x:row>
    <x:row r="360" ht="21" customHeight="1">
      <x:c r="A360" s="28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</x:row>
    <x:row r="361" ht="21" customHeight="1">
      <x:c r="A361" s="28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</x:row>
    <x:row r="362" ht="21" customHeight="1">
      <x:c r="A362" s="28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</x:row>
    <x:row r="363" ht="21" customHeight="1">
      <x:c r="A363" s="28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</x:row>
    <x:row r="364" ht="21" customHeight="1">
      <x:c r="A364" s="28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</x:row>
    <x:row r="365" ht="21" customHeight="1">
      <x:c r="A365" s="28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</x:row>
    <x:row r="366" ht="21" customHeight="1">
      <x:c r="A366" s="28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</x:row>
    <x:row r="367" ht="21" customHeight="1">
      <x:c r="A367" s="28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</x:row>
    <x:row r="368" ht="21" customHeight="1">
      <x:c r="A368" s="28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</x:row>
    <x:row r="369" ht="21" customHeight="1">
      <x:c r="A369" s="28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</x:row>
    <x:row r="370" ht="21" customHeight="1">
      <x:c r="A370" s="28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</x:row>
    <x:row r="371" ht="21" customHeight="1">
      <x:c r="A371" s="28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</x:row>
    <x:row r="372" ht="21" customHeight="1">
      <x:c r="A372" s="28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</x:row>
    <x:row r="373" ht="21" customHeight="1">
      <x:c r="A373" s="28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</x:row>
    <x:row r="374" ht="21" customHeight="1">
      <x:c r="A374" s="28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</x:row>
    <x:row r="375" ht="21" customHeight="1">
      <x:c r="A375" s="28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</x:row>
    <x:row r="376" ht="21" customHeight="1">
      <x:c r="A376" s="28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</x:row>
    <x:row r="377" ht="21" customHeight="1">
      <x:c r="A377" s="28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</x:row>
    <x:row r="378" ht="21" customHeight="1">
      <x:c r="A378" s="28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</x:row>
    <x:row r="379" ht="21" customHeight="1">
      <x:c r="A379" s="28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</x:row>
    <x:row r="380" ht="21" customHeight="1">
      <x:c r="A380" s="28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</x:row>
    <x:row r="381" ht="21" customHeight="1">
      <x:c r="A381" s="28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</x:row>
    <x:row r="382" ht="21" customHeight="1">
      <x:c r="A382" s="28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</x:row>
    <x:row r="383" ht="21" customHeight="1">
      <x:c r="A383" s="28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</x:row>
    <x:row r="384" ht="21" customHeight="1">
      <x:c r="A384" s="28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</x:row>
    <x:row r="385" ht="21" customHeight="1">
      <x:c r="A385" s="28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</x:row>
    <x:row r="386" ht="21" customHeight="1">
      <x:c r="A386" s="28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</x:row>
    <x:row r="387" ht="21" customHeight="1">
      <x:c r="A387" s="28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</x:row>
    <x:row r="388" ht="21" customHeight="1">
      <x:c r="A388" s="28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</x:row>
    <x:row r="389" ht="21" customHeight="1">
      <x:c r="A389" s="28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</x:row>
    <x:row r="390" ht="21" customHeight="1">
      <x:c r="A390" s="28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</x:row>
    <x:row r="391" ht="21" customHeight="1">
      <x:c r="A391" s="28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</x:row>
    <x:row r="392" ht="21" customHeight="1">
      <x:c r="A392" s="28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</x:row>
    <x:row r="393" ht="21" customHeight="1">
      <x:c r="A393" s="28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</x:row>
    <x:row r="394" ht="21" customHeight="1">
      <x:c r="A394" s="28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</x:row>
    <x:row r="395" ht="21" customHeight="1">
      <x:c r="A395" s="28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</x:row>
    <x:row r="396" ht="21" customHeight="1">
      <x:c r="A396" s="28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</x:row>
    <x:row r="397" ht="21" customHeight="1">
      <x:c r="A397" s="28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</x:row>
    <x:row r="398" ht="21" customHeight="1">
      <x:c r="A398" s="28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</x:row>
    <x:row r="399" ht="21" customHeight="1">
      <x:c r="A399" s="28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</x:row>
    <x:row r="400" ht="21" customHeight="1">
      <x:c r="A400" s="28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</x:row>
    <x:row r="401" ht="21" customHeight="1">
      <x:c r="A401" s="28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</x:row>
    <x:row r="402" ht="21" customHeight="1">
      <x:c r="A402" s="28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</x:row>
    <x:row r="403" ht="21" customHeight="1">
      <x:c r="A403" s="28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</x:row>
    <x:row r="404" ht="21" customHeight="1">
      <x:c r="A404" s="28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</x:row>
    <x:row r="405" ht="21" customHeight="1">
      <x:c r="A405" s="28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</x:row>
    <x:row r="406" ht="21" customHeight="1">
      <x:c r="A406" s="28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</x:row>
    <x:row r="407" ht="21" customHeight="1">
      <x:c r="A407" s="28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</x:row>
    <x:row r="408" ht="21" customHeight="1">
      <x:c r="A408" s="28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</x:row>
    <x:row r="409" ht="21" customHeight="1">
      <x:c r="A409" s="28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</x:row>
    <x:row r="410" ht="21" customHeight="1">
      <x:c r="A410" s="28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</x:row>
    <x:row r="411" ht="21" customHeight="1">
      <x:c r="A411" s="28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</x:row>
    <x:row r="412" ht="21" customHeight="1">
      <x:c r="A412" s="28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</x:row>
    <x:row r="413" ht="21" customHeight="1">
      <x:c r="A413" s="28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</x:row>
    <x:row r="414" ht="21" customHeight="1">
      <x:c r="A414" s="28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</x:row>
    <x:row r="415" ht="21" customHeight="1">
      <x:c r="A415" s="28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</x:row>
    <x:row r="416" ht="21" customHeight="1">
      <x:c r="A416" s="28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</x:row>
    <x:row r="417" ht="21" customHeight="1">
      <x:c r="A417" s="28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</x:row>
    <x:row r="418" ht="21" customHeight="1">
      <x:c r="A418" s="28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</x:row>
    <x:row r="419" ht="21" customHeight="1">
      <x:c r="A419" s="28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</x:row>
    <x:row r="420" ht="21" customHeight="1">
      <x:c r="A420" s="28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</x:row>
    <x:row r="421" ht="21" customHeight="1">
      <x:c r="A421" s="28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</x:row>
    <x:row r="422" ht="21" customHeight="1">
      <x:c r="A422" s="28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</x:row>
    <x:row r="423" ht="21" customHeight="1">
      <x:c r="A423" s="28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</x:row>
    <x:row r="424" ht="21" customHeight="1">
      <x:c r="A424" s="28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</x:row>
    <x:row r="425" ht="21" customHeight="1">
      <x:c r="A425" s="28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</x:row>
    <x:row r="426" ht="21" customHeight="1">
      <x:c r="A426" s="28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</x:row>
    <x:row r="427" ht="21" customHeight="1">
      <x:c r="A427" s="28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</x:row>
    <x:row r="428" ht="21" customHeight="1">
      <x:c r="A428" s="28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</x:row>
    <x:row r="429" ht="21" customHeight="1">
      <x:c r="A429" s="28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</x:row>
    <x:row r="430" ht="21" customHeight="1">
      <x:c r="A430" s="28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</x:row>
    <x:row r="431" ht="21" customHeight="1">
      <x:c r="A431" s="28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</x:row>
    <x:row r="432" ht="21" customHeight="1">
      <x:c r="A432" s="28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</x:row>
    <x:row r="433" ht="21" customHeight="1">
      <x:c r="A433" s="28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</x:row>
    <x:row r="434" ht="21" customHeight="1">
      <x:c r="A434" s="28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</x:row>
    <x:row r="435" ht="21" customHeight="1">
      <x:c r="A435" s="28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</x:row>
    <x:row r="436" ht="21" customHeight="1">
      <x:c r="A436" s="28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</x:row>
    <x:row r="437" ht="21" customHeight="1">
      <x:c r="A437" s="28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</x:row>
    <x:row r="438" ht="21" customHeight="1">
      <x:c r="A438" s="28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</x:row>
    <x:row r="439" ht="21" customHeight="1">
      <x:c r="A439" s="28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</x:row>
    <x:row r="440" ht="21" customHeight="1">
      <x:c r="A440" s="28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</x:row>
    <x:row r="441" ht="21" customHeight="1">
      <x:c r="A441" s="28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</x:row>
    <x:row r="442" ht="21" customHeight="1">
      <x:c r="A442" s="28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</x:row>
    <x:row r="443" ht="21" customHeight="1">
      <x:c r="A443" s="28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</x:row>
    <x:row r="444" ht="21" customHeight="1">
      <x:c r="A444" s="28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</x:row>
    <x:row r="445" ht="21" customHeight="1">
      <x:c r="A445" s="28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</x:row>
    <x:row r="446" ht="21" customHeight="1">
      <x:c r="A446" s="28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</x:row>
    <x:row r="447" ht="21" customHeight="1">
      <x:c r="A447" s="28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</x:row>
    <x:row r="448" ht="21" customHeight="1">
      <x:c r="A448" s="28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</x:row>
    <x:row r="449" ht="21" customHeight="1">
      <x:c r="A449" s="28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</x:row>
    <x:row r="450" ht="21" customHeight="1">
      <x:c r="A450" s="28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</x:row>
    <x:row r="451" ht="21" customHeight="1">
      <x:c r="A451" s="28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</x:row>
    <x:row r="452" ht="21" customHeight="1">
      <x:c r="A452" s="28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</x:row>
    <x:row r="453" ht="21" customHeight="1">
      <x:c r="A453" s="28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</x:row>
    <x:row r="454" ht="21" customHeight="1">
      <x:c r="A454" s="28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</x:row>
    <x:row r="455" ht="21" customHeight="1">
      <x:c r="A455" s="28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</x:row>
    <x:row r="456" ht="21" customHeight="1">
      <x:c r="A456" s="28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</x:row>
    <x:row r="457" ht="21" customHeight="1">
      <x:c r="A457" s="28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</x:row>
    <x:row r="458" ht="21" customHeight="1">
      <x:c r="A458" s="28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</x:row>
    <x:row r="459" ht="21" customHeight="1">
      <x:c r="A459" s="28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</x:row>
    <x:row r="460" ht="21" customHeight="1">
      <x:c r="A460" s="28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</x:row>
    <x:row r="461" ht="21" customHeight="1">
      <x:c r="A461" s="28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</x:row>
    <x:row r="462" ht="21" customHeight="1">
      <x:c r="A462" s="28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</x:row>
    <x:row r="463" ht="21" customHeight="1">
      <x:c r="A463" s="28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</x:row>
    <x:row r="464" ht="21" customHeight="1">
      <x:c r="A464" s="28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</x:row>
    <x:row r="465" ht="21" customHeight="1">
      <x:c r="A465" s="28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</x:row>
    <x:row r="466" ht="21" customHeight="1">
      <x:c r="A466" s="28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</x:row>
    <x:row r="467" ht="21" customHeight="1">
      <x:c r="A467" s="28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</x:row>
    <x:row r="468" ht="21" customHeight="1">
      <x:c r="A468" s="28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</x:row>
    <x:row r="469" ht="21" customHeight="1">
      <x:c r="A469" s="28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</x:row>
    <x:row r="470" ht="21" customHeight="1">
      <x:c r="A470" s="28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</x:row>
    <x:row r="471" ht="21" customHeight="1">
      <x:c r="A471" s="28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</x:row>
    <x:row r="472" ht="21" customHeight="1">
      <x:c r="A472" s="28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</x:row>
    <x:row r="473" ht="21" customHeight="1">
      <x:c r="A473" s="28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</x:row>
    <x:row r="474" ht="21" customHeight="1">
      <x:c r="A474" s="28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</x:row>
    <x:row r="475" ht="21" customHeight="1">
      <x:c r="A475" s="28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</x:row>
    <x:row r="476" ht="21" customHeight="1">
      <x:c r="A476" s="28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</x:row>
    <x:row r="477" ht="21" customHeight="1">
      <x:c r="A477" s="28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</x:row>
    <x:row r="478" ht="21" customHeight="1">
      <x:c r="A478" s="28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</x:row>
    <x:row r="479" ht="21" customHeight="1">
      <x:c r="A479" s="28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</x:row>
    <x:row r="480" ht="21" customHeight="1">
      <x:c r="A480" s="28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</x:row>
    <x:row r="481" ht="21" customHeight="1">
      <x:c r="A481" s="28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</x:row>
    <x:row r="482" ht="21" customHeight="1">
      <x:c r="A482" s="28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</x:row>
    <x:row r="483" ht="21" customHeight="1">
      <x:c r="A483" s="28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</x:row>
    <x:row r="484" ht="21" customHeight="1">
      <x:c r="A484" s="28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</x:row>
    <x:row r="485" ht="21" customHeight="1">
      <x:c r="A485" s="28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</x:row>
    <x:row r="486" ht="21" customHeight="1">
      <x:c r="A486" s="28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</x:row>
    <x:row r="487" ht="21" customHeight="1">
      <x:c r="A487" s="28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</x:row>
    <x:row r="488" ht="21" customHeight="1">
      <x:c r="A488" s="28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</x:row>
    <x:row r="489" ht="21" customHeight="1">
      <x:c r="A489" s="28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</x:row>
    <x:row r="490" ht="21" customHeight="1">
      <x:c r="A490" s="28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</x:row>
    <x:row r="491" ht="21" customHeight="1">
      <x:c r="A491" s="28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</x:row>
    <x:row r="492" ht="21" customHeight="1">
      <x:c r="A492" s="28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</x:row>
    <x:row r="493" ht="21" customHeight="1">
      <x:c r="A493" s="28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</x:row>
    <x:row r="494" ht="21" customHeight="1">
      <x:c r="A494" s="28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</x:row>
    <x:row r="495" ht="21" customHeight="1">
      <x:c r="A495" s="28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</x:row>
    <x:row r="496" ht="21" customHeight="1">
      <x:c r="A496" s="28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</x:row>
    <x:row r="497" ht="21" customHeight="1">
      <x:c r="A497" s="28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</x:row>
    <x:row r="498" ht="21" customHeight="1">
      <x:c r="A498" s="28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</x:row>
    <x:row r="499" ht="21" customHeight="1">
      <x:c r="A499" s="28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</x:row>
    <x:row r="500" ht="21" customHeight="1">
      <x:c r="A500" s="28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</x:row>
    <x:row r="501" ht="21" customHeight="1">
      <x:c r="A501" s="28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</x:row>
    <x:row r="502" ht="21" customHeight="1">
      <x:c r="A502" s="28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</x:row>
    <x:row r="503" ht="21" customHeight="1">
      <x:c r="A503" s="28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</x:row>
    <x:row r="504" ht="21" customHeight="1">
      <x:c r="A504" s="28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</x:row>
    <x:row r="505" ht="21" customHeight="1">
      <x:c r="A505" s="28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</x:row>
    <x:row r="506" ht="21" customHeight="1">
      <x:c r="A506" s="28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</x:row>
    <x:row r="507" ht="21" customHeight="1">
      <x:c r="A507" s="28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</x:row>
    <x:row r="508" ht="21" customHeight="1">
      <x:c r="A508" s="28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</x:row>
    <x:row r="509" ht="21" customHeight="1">
      <x:c r="A509" s="28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</x:row>
    <x:row r="510" ht="21" customHeight="1">
      <x:c r="A510" s="28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</x:row>
    <x:row r="511" ht="21" customHeight="1">
      <x:c r="A511" s="28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</x:row>
    <x:row r="512" ht="21" customHeight="1">
      <x:c r="A512" s="28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</x:row>
    <x:row r="513" ht="21" customHeight="1">
      <x:c r="A513" s="28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</x:row>
    <x:row r="514" ht="21" customHeight="1">
      <x:c r="A514" s="28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</x:row>
    <x:row r="515" ht="21" customHeight="1">
      <x:c r="A515" s="28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</x:row>
    <x:row r="516" ht="21" customHeight="1">
      <x:c r="A516" s="28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</x:row>
    <x:row r="517" ht="21" customHeight="1">
      <x:c r="A517" s="28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</x:row>
    <x:row r="518" ht="21" customHeight="1">
      <x:c r="A518" s="28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</x:row>
    <x:row r="519" ht="21" customHeight="1">
      <x:c r="A519" s="28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</x:row>
    <x:row r="520" ht="21" customHeight="1">
      <x:c r="A520" s="28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26" hidden="0" customWidth="1"/>
    <x:col min="5" max="5" width="17" hidden="0" customWidth="1"/>
    <x:col min="6" max="6" width="18" hidden="0" customWidth="1"/>
    <x:col min="7" max="7" width="25" hidden="0" customWidth="1"/>
    <x:col min="8" max="8" width="65" hidden="0" customWidth="1"/>
  </x:cols>
  <x:sheetData>
    <x:row r="1" ht="21" customHeight="1">
      <x:c r="A1" s="17"/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26" customHeight="1">
      <x:c r="A2" s="18" t="str">
        <x:v>Lịch sử chứng khoán từ ảnh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 ht="21" customHeight="1">
      <x:c r="A3" s="17" t="str">
        <x:v>29 dòng loại trùng; FPT_WFT 20 chưa có sự kiện ghi tăng/chuyển. Không import ledger.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 ht="30" customHeight="1">
      <x:c r="A4" s="7" t="str">
        <x:v>Ngày ghi sổ</x:v>
      </x:c>
      <x:c r="B4" s="7" t="str">
        <x:v>Mã</x:v>
      </x:c>
      <x:c r="C4" s="7" t="str">
        <x:v>Tăng / giảm</x:v>
      </x:c>
      <x:c r="D4" s="7" t="str">
        <x:v>Loại</x:v>
      </x:c>
      <x:c r="E4" s="7" t="str">
        <x:v>Ngày mua/bán</x:v>
      </x:c>
      <x:c r="F4" s="7" t="str">
        <x:v>Ảnh nguồn</x:v>
      </x:c>
      <x:c r="G4" s="7" t="str">
        <x:v>Event ID</x:v>
      </x:c>
      <x:c r="H4" s="7" t="str">
        <x:v>Giới hạn</x:v>
      </x:c>
      <x:c r="I4" s="17"/>
      <x:c r="J4" s="17"/>
      <x:c r="K4" s="17"/>
      <x:c r="L4" s="17"/>
      <x:c r="M4" s="17"/>
      <x:c r="N4" s="17"/>
    </x:row>
    <x:row r="5" ht="21" customHeight="1">
      <x:c r="A5" s="27" t="d">
        <x:v>2025-07-03T00:00:00.000Z</x:v>
      </x:c>
      <x:c r="B5" s="17" t="str">
        <x:v>VCB</x:v>
      </x:c>
      <x:c r="C5" s="22" t="n">
        <x:v>100</x:v>
      </x:c>
      <x:c r="D5" s="17" t="str">
        <x:v>BUY</x:v>
      </x:c>
      <x:c r="E5" s="25" t="d">
        <x:v>2025-07-01T00:00:00.000Z</x:v>
      </x:c>
      <x:c r="F5" s="17" t="str">
        <x:v>USER_IMAGE_2</x:v>
      </x:c>
      <x:c r="G5" s="17" t="str">
        <x:v>SCREENSHOT_EVENT_01</x:v>
      </x:c>
      <x:c r="H5" s="17" t="str">
        <x:v>Visible date / paired row context</x:v>
      </x:c>
      <x:c r="I5" s="17"/>
      <x:c r="J5" s="17"/>
      <x:c r="K5" s="17"/>
      <x:c r="L5" s="17"/>
      <x:c r="M5" s="17"/>
      <x:c r="N5" s="17"/>
    </x:row>
    <x:row r="6" ht="21" customHeight="1">
      <x:c r="A6" s="27" t="d">
        <x:v>2025-07-04T00:00:00.000Z</x:v>
      </x:c>
      <x:c r="B6" s="17" t="str">
        <x:v>VRE</x:v>
      </x:c>
      <x:c r="C6" s="22" t="n">
        <x:v>100</x:v>
      </x:c>
      <x:c r="D6" s="17" t="str">
        <x:v>BUY</x:v>
      </x:c>
      <x:c r="E6" s="25" t="d">
        <x:v>2025-07-02T00:00:00.000Z</x:v>
      </x:c>
      <x:c r="F6" s="17" t="str">
        <x:v>USER_IMAGE_2</x:v>
      </x:c>
      <x:c r="G6" s="17" t="str">
        <x:v>SCREENSHOT_EVENT_02</x:v>
      </x:c>
      <x:c r="H6" s="17" t="str">
        <x:v>Visible date / paired row context</x:v>
      </x:c>
      <x:c r="I6" s="17"/>
      <x:c r="J6" s="17"/>
      <x:c r="K6" s="17"/>
      <x:c r="L6" s="17"/>
      <x:c r="M6" s="17"/>
      <x:c r="N6" s="17"/>
    </x:row>
    <x:row r="7" ht="21" customHeight="1">
      <x:c r="A7" s="27" t="d">
        <x:v>2025-07-11T00:00:00.000Z</x:v>
      </x:c>
      <x:c r="B7" s="17" t="str">
        <x:v>TPB</x:v>
      </x:c>
      <x:c r="C7" s="22" t="n">
        <x:v>100</x:v>
      </x:c>
      <x:c r="D7" s="17" t="str">
        <x:v>BUY</x:v>
      </x:c>
      <x:c r="E7" s="25" t="d">
        <x:v>2025-07-09T00:00:00.000Z</x:v>
      </x:c>
      <x:c r="F7" s="17" t="str">
        <x:v>USER_IMAGE_2</x:v>
      </x:c>
      <x:c r="G7" s="17" t="str">
        <x:v>SCREENSHOT_EVENT_03</x:v>
      </x:c>
      <x:c r="H7" s="17" t="str">
        <x:v>Visible date / paired row context</x:v>
      </x:c>
      <x:c r="I7" s="17"/>
      <x:c r="J7" s="17"/>
      <x:c r="K7" s="17"/>
      <x:c r="L7" s="17"/>
      <x:c r="M7" s="17"/>
      <x:c r="N7" s="17"/>
    </x:row>
    <x:row r="8" ht="21" customHeight="1">
      <x:c r="A8" s="27" t="d">
        <x:v>2025-08-18T00:00:00.000Z</x:v>
      </x:c>
      <x:c r="B8" s="17" t="str">
        <x:v>VHM</x:v>
      </x:c>
      <x:c r="C8" s="22" t="n">
        <x:v>100</x:v>
      </x:c>
      <x:c r="D8" s="17" t="str">
        <x:v>BUY</x:v>
      </x:c>
      <x:c r="E8" s="25" t="d">
        <x:v>2025-08-14T00:00:00.000Z</x:v>
      </x:c>
      <x:c r="F8" s="17" t="str">
        <x:v>USER_IMAGE_2</x:v>
      </x:c>
      <x:c r="G8" s="17" t="str">
        <x:v>SCREENSHOT_EVENT_04</x:v>
      </x:c>
      <x:c r="H8" s="17" t="str">
        <x:v>Year contextual from trade description/order/filter where right-side date clipped</x:v>
      </x:c>
      <x:c r="I8" s="17"/>
      <x:c r="J8" s="17"/>
      <x:c r="K8" s="17"/>
      <x:c r="L8" s="17"/>
      <x:c r="M8" s="17"/>
      <x:c r="N8" s="17"/>
    </x:row>
    <x:row r="9" ht="21" customHeight="1">
      <x:c r="A9" s="27" t="d">
        <x:v>2025-10-10T00:00:00.000Z</x:v>
      </x:c>
      <x:c r="B9" s="17" t="str">
        <x:v>FPT</x:v>
      </x:c>
      <x:c r="C9" s="22" t="n">
        <x:v>100</x:v>
      </x:c>
      <x:c r="D9" s="17" t="str">
        <x:v>BUY</x:v>
      </x:c>
      <x:c r="E9" s="25" t="d">
        <x:v>2025-10-08T00:00:00.000Z</x:v>
      </x:c>
      <x:c r="F9" s="17" t="str">
        <x:v>USER_IMAGE_2</x:v>
      </x:c>
      <x:c r="G9" s="17" t="str">
        <x:v>SCREENSHOT_EVENT_05</x:v>
      </x:c>
      <x:c r="H9" s="17" t="str">
        <x:v>Year contextual from trade description/order/filter where right-side date clipped</x:v>
      </x:c>
      <x:c r="I9" s="17"/>
      <x:c r="J9" s="17"/>
      <x:c r="K9" s="17"/>
      <x:c r="L9" s="17"/>
      <x:c r="M9" s="17"/>
      <x:c r="N9" s="17"/>
    </x:row>
    <x:row r="10" ht="21" customHeight="1">
      <x:c r="A10" s="27" t="d">
        <x:v>2025-11-11T00:00:00.000Z</x:v>
      </x:c>
      <x:c r="B10" s="17" t="str">
        <x:v>HPG</x:v>
      </x:c>
      <x:c r="C10" s="22" t="n">
        <x:v>100</x:v>
      </x:c>
      <x:c r="D10" s="17" t="str">
        <x:v>BUY</x:v>
      </x:c>
      <x:c r="E10" s="25" t="d">
        <x:v>2025-11-07T00:00:00.000Z</x:v>
      </x:c>
      <x:c r="F10" s="17" t="str">
        <x:v>USER_IMAGE_2</x:v>
      </x:c>
      <x:c r="G10" s="17" t="str">
        <x:v>SCREENSHOT_EVENT_06</x:v>
      </x:c>
      <x:c r="H10" s="17" t="str">
        <x:v>Visible date / paired row context</x:v>
      </x:c>
      <x:c r="I10" s="17"/>
      <x:c r="J10" s="17"/>
      <x:c r="K10" s="17"/>
      <x:c r="L10" s="17"/>
      <x:c r="M10" s="17"/>
      <x:c r="N10" s="17"/>
    </x:row>
    <x:row r="11" ht="21" customHeight="1">
      <x:c r="A11" s="27" t="d">
        <x:v>2025-11-18T00:00:00.000Z</x:v>
      </x:c>
      <x:c r="B11" s="17" t="str">
        <x:v>SSI</x:v>
      </x:c>
      <x:c r="C11" s="22" t="n">
        <x:v>100</x:v>
      </x:c>
      <x:c r="D11" s="17" t="str">
        <x:v>BUY</x:v>
      </x:c>
      <x:c r="E11" s="25" t="d">
        <x:v>2025-11-14T00:00:00.000Z</x:v>
      </x:c>
      <x:c r="F11" s="17" t="str">
        <x:v>USER_IMAGE_2</x:v>
      </x:c>
      <x:c r="G11" s="17" t="str">
        <x:v>SCREENSHOT_EVENT_07</x:v>
      </x:c>
      <x:c r="H11" s="17" t="str">
        <x:v>Visible date / paired row context</x:v>
      </x:c>
      <x:c r="I11" s="17"/>
      <x:c r="J11" s="17"/>
      <x:c r="K11" s="17"/>
      <x:c r="L11" s="17"/>
      <x:c r="M11" s="17"/>
      <x:c r="N11" s="17"/>
    </x:row>
    <x:row r="12" ht="21" customHeight="1">
      <x:c r="A12" s="27" t="d">
        <x:v>2025-11-18T00:00:00.000Z</x:v>
      </x:c>
      <x:c r="B12" s="17" t="str">
        <x:v>TPB_WFT</x:v>
      </x:c>
      <x:c r="C12" s="22" t="n">
        <x:v>5</x:v>
      </x:c>
      <x:c r="D12" s="17" t="str">
        <x:v>PENDING_CREDIT</x:v>
      </x:c>
      <x:c r="E12" s="25"/>
      <x:c r="F12" s="17" t="str">
        <x:v>USER_IMAGE_2</x:v>
      </x:c>
      <x:c r="G12" s="17" t="str">
        <x:v>SCREENSHOT_EVENT_08</x:v>
      </x:c>
      <x:c r="H12" s="17" t="str">
        <x:v>Visible date / paired row context</x:v>
      </x:c>
      <x:c r="I12" s="17"/>
      <x:c r="J12" s="17"/>
      <x:c r="K12" s="17"/>
      <x:c r="L12" s="17"/>
      <x:c r="M12" s="17"/>
      <x:c r="N12" s="17"/>
    </x:row>
    <x:row r="13" ht="21" customHeight="1">
      <x:c r="A13" s="27" t="d">
        <x:v>2025-11-27T00:00:00.000Z</x:v>
      </x:c>
      <x:c r="B13" s="17" t="str">
        <x:v>TPB_WFT</x:v>
      </x:c>
      <x:c r="C13" s="22" t="n">
        <x:v>-5</x:v>
      </x:c>
      <x:c r="D13" s="17" t="str">
        <x:v>PENDING_TRANSFER_OUT</x:v>
      </x:c>
      <x:c r="E13" s="25"/>
      <x:c r="F13" s="17" t="str">
        <x:v>USER_IMAGE_2</x:v>
      </x:c>
      <x:c r="G13" s="17" t="str">
        <x:v>SCREENSHOT_EVENT_09</x:v>
      </x:c>
      <x:c r="H13" s="17" t="str">
        <x:v>Visible date / paired row context</x:v>
      </x:c>
      <x:c r="I13" s="17"/>
      <x:c r="J13" s="17"/>
      <x:c r="K13" s="17"/>
      <x:c r="L13" s="17"/>
      <x:c r="M13" s="17"/>
      <x:c r="N13" s="17"/>
    </x:row>
    <x:row r="14" ht="21" customHeight="1">
      <x:c r="A14" s="27" t="d">
        <x:v>2025-11-27T00:00:00.000Z</x:v>
      </x:c>
      <x:c r="B14" s="17" t="str">
        <x:v>TPB</x:v>
      </x:c>
      <x:c r="C14" s="22" t="n">
        <x:v>5</x:v>
      </x:c>
      <x:c r="D14" s="17" t="str">
        <x:v>ORDINARY_TRANSFER_IN</x:v>
      </x:c>
      <x:c r="E14" s="25"/>
      <x:c r="F14" s="17" t="str">
        <x:v>USER_IMAGE_2</x:v>
      </x:c>
      <x:c r="G14" s="17" t="str">
        <x:v>SCREENSHOT_EVENT_10</x:v>
      </x:c>
      <x:c r="H14" s="17" t="str">
        <x:v>Visible date / paired row context</x:v>
      </x:c>
      <x:c r="I14" s="17"/>
      <x:c r="J14" s="17"/>
      <x:c r="K14" s="17"/>
      <x:c r="L14" s="17"/>
      <x:c r="M14" s="17"/>
      <x:c r="N14" s="17"/>
    </x:row>
    <x:row r="15" ht="21" customHeight="1">
      <x:c r="A15" s="27" t="d">
        <x:v>2026-01-21T00:00:00.000Z</x:v>
      </x:c>
      <x:c r="B15" s="17" t="str">
        <x:v>TCB</x:v>
      </x:c>
      <x:c r="C15" s="22" t="n">
        <x:v>100</x:v>
      </x:c>
      <x:c r="D15" s="17" t="str">
        <x:v>BUY</x:v>
      </x:c>
      <x:c r="E15" s="25" t="d">
        <x:v>2026-01-19T00:00:00.000Z</x:v>
      </x:c>
      <x:c r="F15" s="17" t="str">
        <x:v>USER_IMAGE_2</x:v>
      </x:c>
      <x:c r="G15" s="17" t="str">
        <x:v>SCREENSHOT_EVENT_11</x:v>
      </x:c>
      <x:c r="H15" s="17" t="str">
        <x:v>Visible date / paired row context</x:v>
      </x:c>
      <x:c r="I15" s="17"/>
      <x:c r="J15" s="17"/>
      <x:c r="K15" s="17"/>
      <x:c r="L15" s="17"/>
      <x:c r="M15" s="17"/>
      <x:c r="N15" s="17"/>
    </x:row>
    <x:row r="16" ht="21" customHeight="1">
      <x:c r="A16" s="27" t="d">
        <x:v>2026-01-21T00:00:00.000Z</x:v>
      </x:c>
      <x:c r="B16" s="17" t="str">
        <x:v>GAS</x:v>
      </x:c>
      <x:c r="C16" s="22" t="n">
        <x:v>100</x:v>
      </x:c>
      <x:c r="D16" s="17" t="str">
        <x:v>BUY</x:v>
      </x:c>
      <x:c r="E16" s="25" t="d">
        <x:v>2026-01-19T00:00:00.000Z</x:v>
      </x:c>
      <x:c r="F16" s="17" t="str">
        <x:v>USER_IMAGE_2</x:v>
      </x:c>
      <x:c r="G16" s="17" t="str">
        <x:v>SCREENSHOT_EVENT_12</x:v>
      </x:c>
      <x:c r="H16" s="17" t="str">
        <x:v>Visible date / paired row context</x:v>
      </x:c>
      <x:c r="I16" s="17"/>
      <x:c r="J16" s="17"/>
      <x:c r="K16" s="17"/>
      <x:c r="L16" s="17"/>
      <x:c r="M16" s="17"/>
      <x:c r="N16" s="17"/>
    </x:row>
    <x:row r="17" ht="21" customHeight="1">
      <x:c r="A17" s="27" t="d">
        <x:v>2026-03-09T00:00:00.000Z</x:v>
      </x:c>
      <x:c r="B17" s="17" t="str">
        <x:v>MWG</x:v>
      </x:c>
      <x:c r="C17" s="22" t="n">
        <x:v>100</x:v>
      </x:c>
      <x:c r="D17" s="17" t="str">
        <x:v>BUY</x:v>
      </x:c>
      <x:c r="E17" s="25" t="d">
        <x:v>2026-03-05T00:00:00.000Z</x:v>
      </x:c>
      <x:c r="F17" s="17" t="str">
        <x:v>USER_IMAGE_2</x:v>
      </x:c>
      <x:c r="G17" s="17" t="str">
        <x:v>SCREENSHOT_EVENT_13</x:v>
      </x:c>
      <x:c r="H17" s="17" t="str">
        <x:v>Visible date / paired row context</x:v>
      </x:c>
      <x:c r="I17" s="17"/>
      <x:c r="J17" s="17"/>
      <x:c r="K17" s="17"/>
      <x:c r="L17" s="17"/>
      <x:c r="M17" s="17"/>
      <x:c r="N17" s="17"/>
    </x:row>
    <x:row r="18" ht="21" customHeight="1">
      <x:c r="A18" s="27" t="d">
        <x:v>2026-05-25T00:00:00.000Z</x:v>
      </x:c>
      <x:c r="B18" s="17" t="str">
        <x:v>GAS</x:v>
      </x:c>
      <x:c r="C18" s="22" t="n">
        <x:v>100</x:v>
      </x:c>
      <x:c r="D18" s="17" t="str">
        <x:v>BUY</x:v>
      </x:c>
      <x:c r="E18" s="25" t="d">
        <x:v>2026-05-21T00:00:00.000Z</x:v>
      </x:c>
      <x:c r="F18" s="17" t="str">
        <x:v>USER_IMAGE_3</x:v>
      </x:c>
      <x:c r="G18" s="17" t="str">
        <x:v>SCREENSHOT_EVENT_14</x:v>
      </x:c>
      <x:c r="H18" s="17" t="str">
        <x:v>Visible date / paired row context</x:v>
      </x:c>
      <x:c r="I18" s="17"/>
      <x:c r="J18" s="17"/>
      <x:c r="K18" s="17"/>
      <x:c r="L18" s="17"/>
      <x:c r="M18" s="17"/>
      <x:c r="N18" s="17"/>
    </x:row>
    <x:row r="19" ht="21" customHeight="1">
      <x:c r="A19" s="27" t="d">
        <x:v>2026-06-26T00:00:00.000Z</x:v>
      </x:c>
      <x:c r="B19" s="17" t="str">
        <x:v>HPG_WFT</x:v>
      </x:c>
      <x:c r="C19" s="22" t="n">
        <x:v>10</x:v>
      </x:c>
      <x:c r="D19" s="17" t="str">
        <x:v>PENDING_CREDIT</x:v>
      </x:c>
      <x:c r="E19" s="25"/>
      <x:c r="F19" s="17" t="str">
        <x:v>USER_IMAGE_3</x:v>
      </x:c>
      <x:c r="G19" s="17" t="str">
        <x:v>SCREENSHOT_EVENT_15</x:v>
      </x:c>
      <x:c r="H19" s="17" t="str">
        <x:v>Visible date / paired row context</x:v>
      </x:c>
      <x:c r="I19" s="17"/>
      <x:c r="J19" s="17"/>
      <x:c r="K19" s="17"/>
      <x:c r="L19" s="17"/>
      <x:c r="M19" s="17"/>
      <x:c r="N19" s="17"/>
    </x:row>
    <x:row r="20" ht="21" customHeight="1">
      <x:c r="A20" s="27" t="d">
        <x:v>2026-07-13T00:00:00.000Z</x:v>
      </x:c>
      <x:c r="B20" s="17" t="str">
        <x:v>VPL</x:v>
      </x:c>
      <x:c r="C20" s="22" t="n">
        <x:v>100</x:v>
      </x:c>
      <x:c r="D20" s="17" t="str">
        <x:v>BUY</x:v>
      </x:c>
      <x:c r="E20" s="25" t="d">
        <x:v>2026-07-09T00:00:00.000Z</x:v>
      </x:c>
      <x:c r="F20" s="17" t="str">
        <x:v>USER_IMAGE_3</x:v>
      </x:c>
      <x:c r="G20" s="17" t="str">
        <x:v>SCREENSHOT_EVENT_16</x:v>
      </x:c>
      <x:c r="H20" s="17" t="str">
        <x:v>Visible date / paired row context</x:v>
      </x:c>
      <x:c r="I20" s="17"/>
      <x:c r="J20" s="17"/>
      <x:c r="K20" s="17"/>
      <x:c r="L20" s="17"/>
      <x:c r="M20" s="17"/>
      <x:c r="N20" s="17"/>
    </x:row>
    <x:row r="21" ht="21" customHeight="1">
      <x:c r="A21" s="27" t="d">
        <x:v>2026-07-15T00:00:00.000Z</x:v>
      </x:c>
      <x:c r="B21" s="17" t="str">
        <x:v>HPG_WFT</x:v>
      </x:c>
      <x:c r="C21" s="22" t="n">
        <x:v>-10</x:v>
      </x:c>
      <x:c r="D21" s="17" t="str">
        <x:v>PENDING_TRANSFER_OUT</x:v>
      </x:c>
      <x:c r="E21" s="25"/>
      <x:c r="F21" s="17" t="str">
        <x:v>USER_IMAGE_3</x:v>
      </x:c>
      <x:c r="G21" s="17" t="str">
        <x:v>SCREENSHOT_EVENT_17</x:v>
      </x:c>
      <x:c r="H21" s="17" t="str">
        <x:v>Year contextual from trade description/order/filter where right-side date clipped</x:v>
      </x:c>
      <x:c r="I21" s="17"/>
      <x:c r="J21" s="17"/>
      <x:c r="K21" s="17"/>
      <x:c r="L21" s="17"/>
      <x:c r="M21" s="17"/>
      <x:c r="N21" s="17"/>
    </x:row>
    <x:row r="22" ht="21" customHeight="1">
      <x:c r="A22" s="27" t="d">
        <x:v>2026-07-15T00:00:00.000Z</x:v>
      </x:c>
      <x:c r="B22" s="17" t="str">
        <x:v>HPG</x:v>
      </x:c>
      <x:c r="C22" s="22" t="n">
        <x:v>10</x:v>
      </x:c>
      <x:c r="D22" s="17" t="str">
        <x:v>ORDINARY_TRANSFER_IN</x:v>
      </x:c>
      <x:c r="E22" s="25"/>
      <x:c r="F22" s="17" t="str">
        <x:v>USER_IMAGE_3</x:v>
      </x:c>
      <x:c r="G22" s="17" t="str">
        <x:v>SCREENSHOT_EVENT_18</x:v>
      </x:c>
      <x:c r="H22" s="17" t="str">
        <x:v>Visible date / paired row context</x:v>
      </x:c>
      <x:c r="I22" s="17"/>
      <x:c r="J22" s="17"/>
      <x:c r="K22" s="17"/>
      <x:c r="L22" s="17"/>
      <x:c r="M22" s="17"/>
      <x:c r="N22" s="17"/>
    </x:row>
    <x:row r="23" ht="21" customHeight="1">
      <x:c r="A23" s="27" t="d">
        <x:v>2026-08-03T00:00:00.000Z</x:v>
      </x:c>
      <x:c r="B23" s="17" t="str">
        <x:v>FPT</x:v>
      </x:c>
      <x:c r="C23" s="22" t="n">
        <x:v>100</x:v>
      </x:c>
      <x:c r="D23" s="17" t="str">
        <x:v>BUY</x:v>
      </x:c>
      <x:c r="E23" s="25" t="d">
        <x:v>2026-07-30T00:00:00.000Z</x:v>
      </x:c>
      <x:c r="F23" s="17" t="str">
        <x:v>USER_IMAGE_3</x:v>
      </x:c>
      <x:c r="G23" s="17" t="str">
        <x:v>SCREENSHOT_EVENT_19</x:v>
      </x:c>
      <x:c r="H23" s="17" t="str">
        <x:v>Visible date / paired row context</x:v>
      </x:c>
      <x:c r="I23" s="17"/>
      <x:c r="J23" s="17"/>
      <x:c r="K23" s="17"/>
      <x:c r="L23" s="17"/>
      <x:c r="M23" s="17"/>
      <x:c r="N23" s="17"/>
    </x:row>
    <x:row r="24" ht="21" customHeight="1">
      <x:c r="A24" s="27" t="d">
        <x:v>2026-08-03T00:00:00.000Z</x:v>
      </x:c>
      <x:c r="B24" s="17" t="str">
        <x:v>TPB</x:v>
      </x:c>
      <x:c r="C24" s="22" t="n">
        <x:v>-100</x:v>
      </x:c>
      <x:c r="D24" s="17" t="str">
        <x:v>SELL</x:v>
      </x:c>
      <x:c r="E24" s="25" t="d">
        <x:v>2026-08-03T00:00:00.000Z</x:v>
      </x:c>
      <x:c r="F24" s="17" t="str">
        <x:v>USER_IMAGE_3</x:v>
      </x:c>
      <x:c r="G24" s="17" t="str">
        <x:v>SCREENSHOT_EVENT_20</x:v>
      </x:c>
      <x:c r="H24" s="17" t="str">
        <x:v>Visible date / paired row context</x:v>
      </x:c>
      <x:c r="I24" s="17"/>
      <x:c r="J24" s="17"/>
      <x:c r="K24" s="17"/>
      <x:c r="L24" s="17"/>
      <x:c r="M24" s="17"/>
      <x:c r="N24" s="17"/>
    </x:row>
    <x:row r="25" ht="21" customHeight="1">
      <x:c r="A25" s="27" t="d">
        <x:v>2026-08-04T00:00:00.000Z</x:v>
      </x:c>
      <x:c r="B25" s="17" t="str">
        <x:v>TPB</x:v>
      </x:c>
      <x:c r="C25" s="22" t="n">
        <x:v>-5</x:v>
      </x:c>
      <x:c r="D25" s="17" t="str">
        <x:v>SELL</x:v>
      </x:c>
      <x:c r="E25" s="25" t="d">
        <x:v>2026-08-04T00:00:00.000Z</x:v>
      </x:c>
      <x:c r="F25" s="17" t="str">
        <x:v>USER_IMAGE_3</x:v>
      </x:c>
      <x:c r="G25" s="17" t="str">
        <x:v>SCREENSHOT_EVENT_21</x:v>
      </x:c>
      <x:c r="H25" s="17" t="str">
        <x:v>Visible date / paired row context</x:v>
      </x:c>
      <x:c r="I25" s="17"/>
      <x:c r="J25" s="17"/>
      <x:c r="K25" s="17"/>
      <x:c r="L25" s="17"/>
      <x:c r="M25" s="17"/>
      <x:c r="N25" s="17"/>
    </x:row>
    <x:row r="26" ht="21" customHeight="1">
      <x:c r="A26" s="27" t="d">
        <x:v>2026-08-06T00:00:00.000Z</x:v>
      </x:c>
      <x:c r="B26" s="17" t="str">
        <x:v>SSI</x:v>
      </x:c>
      <x:c r="C26" s="22" t="n">
        <x:v>100</x:v>
      </x:c>
      <x:c r="D26" s="17" t="str">
        <x:v>BUY</x:v>
      </x:c>
      <x:c r="E26" s="25" t="d">
        <x:v>2026-08-04T00:00:00.000Z</x:v>
      </x:c>
      <x:c r="F26" s="17" t="str">
        <x:v>USER_IMAGE_3</x:v>
      </x:c>
      <x:c r="G26" s="17" t="str">
        <x:v>SCREENSHOT_EVENT_22</x:v>
      </x:c>
      <x:c r="H26" s="17" t="str">
        <x:v>Visible date / paired row context</x:v>
      </x:c>
      <x:c r="I26" s="17"/>
      <x:c r="J26" s="17"/>
      <x:c r="K26" s="17"/>
      <x:c r="L26" s="17"/>
      <x:c r="M26" s="17"/>
      <x:c r="N26" s="17"/>
    </x:row>
    <x:row r="27" ht="21" customHeight="1">
      <x:c r="A27" s="27" t="d">
        <x:v>2026-08-19T00:00:00.000Z</x:v>
      </x:c>
      <x:c r="B27" s="17" t="str">
        <x:v>MBB</x:v>
      </x:c>
      <x:c r="C27" s="22" t="n">
        <x:v>100</x:v>
      </x:c>
      <x:c r="D27" s="17" t="str">
        <x:v>BUY</x:v>
      </x:c>
      <x:c r="E27" s="25" t="d">
        <x:v>2026-08-17T00:00:00.000Z</x:v>
      </x:c>
      <x:c r="F27" s="17" t="str">
        <x:v>USER_IMAGE_3</x:v>
      </x:c>
      <x:c r="G27" s="17" t="str">
        <x:v>SCREENSHOT_EVENT_23</x:v>
      </x:c>
      <x:c r="H27" s="17" t="str">
        <x:v>Visible date / paired row context</x:v>
      </x:c>
      <x:c r="I27" s="17"/>
      <x:c r="J27" s="17"/>
      <x:c r="K27" s="17"/>
      <x:c r="L27" s="17"/>
      <x:c r="M27" s="17"/>
      <x:c r="N27" s="17"/>
    </x:row>
    <x:row r="28" ht="21" customHeight="1">
      <x:c r="A28" s="27" t="d">
        <x:v>2026-08-25T00:00:00.000Z</x:v>
      </x:c>
      <x:c r="B28" s="17" t="str">
        <x:v>VHM_WFT</x:v>
      </x:c>
      <x:c r="C28" s="22" t="n">
        <x:v>100</x:v>
      </x:c>
      <x:c r="D28" s="17" t="str">
        <x:v>PENDING_CREDIT</x:v>
      </x:c>
      <x:c r="E28" s="25"/>
      <x:c r="F28" s="17" t="str">
        <x:v>USER_IMAGE_3</x:v>
      </x:c>
      <x:c r="G28" s="17" t="str">
        <x:v>SCREENSHOT_EVENT_24</x:v>
      </x:c>
      <x:c r="H28" s="17" t="str">
        <x:v>Visible date / paired row context</x:v>
      </x:c>
      <x:c r="I28" s="17"/>
      <x:c r="J28" s="17"/>
      <x:c r="K28" s="17"/>
      <x:c r="L28" s="17"/>
      <x:c r="M28" s="17"/>
      <x:c r="N28" s="17"/>
    </x:row>
    <x:row r="29" ht="21" customHeight="1">
      <x:c r="A29" s="27" t="d">
        <x:v>2026-09-09T00:00:00.000Z</x:v>
      </x:c>
      <x:c r="B29" s="17" t="str">
        <x:v>VHM_WFT</x:v>
      </x:c>
      <x:c r="C29" s="22" t="n">
        <x:v>-100</x:v>
      </x:c>
      <x:c r="D29" s="17" t="str">
        <x:v>PENDING_TRANSFER_OUT</x:v>
      </x:c>
      <x:c r="E29" s="25"/>
      <x:c r="F29" s="17" t="str">
        <x:v>USER_IMAGE_1</x:v>
      </x:c>
      <x:c r="G29" s="17" t="str">
        <x:v>SCREENSHOT_EVENT_25</x:v>
      </x:c>
      <x:c r="H29" s="17" t="str">
        <x:v>Visible date / paired row context</x:v>
      </x:c>
      <x:c r="I29" s="17"/>
      <x:c r="J29" s="17"/>
      <x:c r="K29" s="17"/>
      <x:c r="L29" s="17"/>
      <x:c r="M29" s="17"/>
      <x:c r="N29" s="17"/>
    </x:row>
    <x:row r="30" ht="21" customHeight="1">
      <x:c r="A30" s="27" t="d">
        <x:v>2026-09-09T00:00:00.000Z</x:v>
      </x:c>
      <x:c r="B30" s="17" t="str">
        <x:v>VHM</x:v>
      </x:c>
      <x:c r="C30" s="22" t="n">
        <x:v>100</x:v>
      </x:c>
      <x:c r="D30" s="17" t="str">
        <x:v>ORDINARY_TRANSFER_IN</x:v>
      </x:c>
      <x:c r="E30" s="25"/>
      <x:c r="F30" s="17" t="str">
        <x:v>USER_IMAGE_1</x:v>
      </x:c>
      <x:c r="G30" s="17" t="str">
        <x:v>SCREENSHOT_EVENT_26</x:v>
      </x:c>
      <x:c r="H30" s="17" t="str">
        <x:v>Visible date / paired row context</x:v>
      </x:c>
      <x:c r="I30" s="17"/>
      <x:c r="J30" s="17"/>
      <x:c r="K30" s="17"/>
      <x:c r="L30" s="17"/>
      <x:c r="M30" s="17"/>
      <x:c r="N30" s="17"/>
    </x:row>
    <x:row r="31" ht="21" customHeight="1">
      <x:c r="A31" s="27" t="d">
        <x:v>2026-09-21T00:00:00.000Z</x:v>
      </x:c>
      <x:c r="B31" s="17" t="str">
        <x:v>SSI_WFT</x:v>
      </x:c>
      <x:c r="C31" s="22" t="n">
        <x:v>40</x:v>
      </x:c>
      <x:c r="D31" s="17" t="str">
        <x:v>PENDING_CREDIT</x:v>
      </x:c>
      <x:c r="E31" s="25"/>
      <x:c r="F31" s="17" t="str">
        <x:v>USER_IMAGE_1</x:v>
      </x:c>
      <x:c r="G31" s="17" t="str">
        <x:v>SCREENSHOT_EVENT_27</x:v>
      </x:c>
      <x:c r="H31" s="17" t="str">
        <x:v>Year contextual from trade description/order/filter where right-side date clipped</x:v>
      </x:c>
      <x:c r="I31" s="17"/>
      <x:c r="J31" s="17"/>
      <x:c r="K31" s="17"/>
      <x:c r="L31" s="17"/>
      <x:c r="M31" s="17"/>
      <x:c r="N31" s="17"/>
    </x:row>
    <x:row r="32" ht="21" customHeight="1">
      <x:c r="A32" s="27" t="d">
        <x:v>2026-10-01T00:00:00.000Z</x:v>
      </x:c>
      <x:c r="B32" s="17" t="str">
        <x:v>SSI_WFT</x:v>
      </x:c>
      <x:c r="C32" s="22" t="n">
        <x:v>-40</x:v>
      </x:c>
      <x:c r="D32" s="17" t="str">
        <x:v>PENDING_TRANSFER_OUT</x:v>
      </x:c>
      <x:c r="E32" s="25"/>
      <x:c r="F32" s="17" t="str">
        <x:v>USER_IMAGE_1</x:v>
      </x:c>
      <x:c r="G32" s="17" t="str">
        <x:v>SCREENSHOT_EVENT_28</x:v>
      </x:c>
      <x:c r="H32" s="17" t="str">
        <x:v>Visible date / paired row context</x:v>
      </x:c>
      <x:c r="I32" s="17"/>
      <x:c r="J32" s="17"/>
      <x:c r="K32" s="17"/>
      <x:c r="L32" s="17"/>
      <x:c r="M32" s="17"/>
      <x:c r="N32" s="17"/>
    </x:row>
    <x:row r="33" ht="21" customHeight="1">
      <x:c r="A33" s="27" t="d">
        <x:v>2026-10-01T00:00:00.000Z</x:v>
      </x:c>
      <x:c r="B33" s="17" t="str">
        <x:v>SSI</x:v>
      </x:c>
      <x:c r="C33" s="22" t="n">
        <x:v>40</x:v>
      </x:c>
      <x:c r="D33" s="17" t="str">
        <x:v>ORDINARY_TRANSFER_IN</x:v>
      </x:c>
      <x:c r="E33" s="25"/>
      <x:c r="F33" s="17" t="str">
        <x:v>USER_IMAGE_1</x:v>
      </x:c>
      <x:c r="G33" s="17" t="str">
        <x:v>SCREENSHOT_EVENT_29</x:v>
      </x:c>
      <x:c r="H33" s="17" t="str">
        <x:v>Visible date / paired row context</x:v>
      </x:c>
      <x:c r="I33" s="17"/>
      <x:c r="J33" s="17"/>
      <x:c r="K33" s="17"/>
      <x:c r="L33" s="17"/>
      <x:c r="M33" s="17"/>
      <x:c r="N33" s="17"/>
    </x:row>
    <x:row r="34" ht="21" customHeight="1">
      <x:c r="A34" s="28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 ht="21" customHeight="1">
      <x:c r="A35" s="28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 ht="21" customHeight="1">
      <x:c r="A36" s="28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 ht="21" customHeight="1">
      <x:c r="A37" s="28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 ht="21" customHeight="1">
      <x:c r="A38" s="28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 ht="21" customHeight="1">
      <x:c r="A39" s="28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 ht="21" customHeight="1">
      <x:c r="A40" s="28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  <x:row r="41" ht="21" customHeight="1">
      <x:c r="A41" s="28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</x:row>
    <x:row r="42" ht="21" customHeight="1">
      <x:c r="A42" s="28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</x:row>
    <x:row r="43" ht="21" customHeight="1">
      <x:c r="A43" s="28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</x:row>
    <x:row r="44" ht="21" customHeight="1">
      <x:c r="A44" s="28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</x:row>
    <x:row r="45" ht="21" customHeight="1">
      <x:c r="A45" s="28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</x:row>
    <x:row r="46" ht="21" customHeight="1">
      <x:c r="A46" s="28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</x:row>
    <x:row r="47" ht="21" customHeight="1">
      <x:c r="A47" s="28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</x:row>
    <x:row r="48" ht="21" customHeight="1">
      <x:c r="A48" s="28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</x:row>
    <x:row r="49" ht="21" customHeight="1">
      <x:c r="A49" s="28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</x:row>
    <x:row r="50" ht="21" customHeight="1">
      <x:c r="A50" s="28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</x:row>
    <x:row r="51" ht="21" customHeight="1">
      <x:c r="A51" s="28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</x:row>
    <x:row r="52" ht="21" customHeight="1">
      <x:c r="A52" s="28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</x:row>
    <x:row r="53" ht="21" customHeight="1">
      <x:c r="A53" s="28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</x:row>
    <x:row r="54" ht="21" customHeight="1">
      <x:c r="A54" s="28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</x:row>
    <x:row r="55" ht="21" customHeight="1">
      <x:c r="A55" s="28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</x:row>
    <x:row r="56" ht="21" customHeight="1">
      <x:c r="A56" s="28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</x:row>
    <x:row r="57" ht="21" customHeight="1">
      <x:c r="A57" s="28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</x:row>
    <x:row r="58" ht="21" customHeight="1">
      <x:c r="A58" s="28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</x:row>
    <x:row r="59" ht="21" customHeight="1">
      <x:c r="A59" s="28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</x:row>
    <x:row r="60" ht="21" customHeight="1">
      <x:c r="A60" s="28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</x:row>
    <x:row r="61" ht="21" customHeight="1">
      <x:c r="A61" s="28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</x:row>
    <x:row r="62" ht="21" customHeight="1">
      <x:c r="A62" s="28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</x:row>
    <x:row r="63" ht="21" customHeight="1">
      <x:c r="A63" s="28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</x:row>
    <x:row r="64" ht="21" customHeight="1">
      <x:c r="A64" s="28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</x:row>
    <x:row r="65" ht="21" customHeight="1">
      <x:c r="A65" s="28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</x:row>
    <x:row r="66" ht="21" customHeight="1">
      <x:c r="A66" s="28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</x:row>
    <x:row r="67" ht="21" customHeight="1">
      <x:c r="A67" s="28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</x:row>
    <x:row r="68" ht="21" customHeight="1">
      <x:c r="A68" s="28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</x:row>
    <x:row r="69" ht="21" customHeight="1">
      <x:c r="A69" s="28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</x:row>
    <x:row r="70" ht="21" customHeight="1">
      <x:c r="A70" s="28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</x:row>
    <x:row r="71" ht="21" customHeight="1">
      <x:c r="A71" s="28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</x:row>
    <x:row r="72" ht="21" customHeight="1">
      <x:c r="A72" s="28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</x:row>
    <x:row r="73" ht="21" customHeight="1">
      <x:c r="A73" s="28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</x:row>
    <x:row r="74" ht="21" customHeight="1">
      <x:c r="A74" s="28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</x:row>
    <x:row r="75" ht="21" customHeight="1">
      <x:c r="A75" s="28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</x:row>
    <x:row r="76" ht="21" customHeight="1">
      <x:c r="A76" s="28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</x:row>
    <x:row r="77" ht="21" customHeight="1">
      <x:c r="A77" s="28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</x:row>
    <x:row r="78" ht="21" customHeight="1">
      <x:c r="A78" s="28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</x:row>
    <x:row r="79" ht="21" customHeight="1">
      <x:c r="A79" s="28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</x:row>
    <x:row r="80" ht="21" customHeight="1">
      <x:c r="A80" s="28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</x:row>
    <x:row r="81" ht="21" customHeight="1">
      <x:c r="A81" s="28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</x:row>
    <x:row r="82" ht="21" customHeight="1">
      <x:c r="A82" s="28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</x:row>
    <x:row r="83" ht="21" customHeight="1">
      <x:c r="A83" s="28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</x:row>
    <x:row r="84" ht="21" customHeight="1">
      <x:c r="A84" s="28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</x:row>
    <x:row r="85" ht="21" customHeight="1">
      <x:c r="A85" s="28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</x:row>
    <x:row r="86" ht="21" customHeight="1">
      <x:c r="A86" s="28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</x:row>
    <x:row r="87" ht="21" customHeight="1">
      <x:c r="A87" s="28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</x:row>
    <x:row r="88" ht="21" customHeight="1">
      <x:c r="A88" s="28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</x:row>
    <x:row r="89" ht="21" customHeight="1">
      <x:c r="A89" s="28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</x:row>
    <x:row r="90" ht="21" customHeight="1">
      <x:c r="A90" s="28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</x:row>
    <x:row r="91" ht="21" customHeight="1">
      <x:c r="A91" s="28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</x:row>
    <x:row r="92" ht="21" customHeight="1">
      <x:c r="A92" s="28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</x:row>
    <x:row r="93" ht="21" customHeight="1">
      <x:c r="A93" s="28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</x:row>
    <x:row r="94" ht="21" customHeight="1">
      <x:c r="A94" s="28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</x:row>
    <x:row r="95" ht="21" customHeight="1">
      <x:c r="A95" s="28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</x:row>
    <x:row r="96" ht="21" customHeight="1">
      <x:c r="A96" s="28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</x:row>
    <x:row r="97" ht="21" customHeight="1">
      <x:c r="A97" s="28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</x:row>
    <x:row r="98" ht="21" customHeight="1">
      <x:c r="A98" s="28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</x:row>
    <x:row r="99" ht="21" customHeight="1">
      <x:c r="A99" s="28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</x:row>
    <x:row r="100" ht="21" customHeight="1">
      <x:c r="A100" s="28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</x:row>
    <x:row r="101" ht="21" customHeight="1">
      <x:c r="A101" s="28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</x:row>
    <x:row r="102" ht="21" customHeight="1">
      <x:c r="A102" s="28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</x:row>
    <x:row r="103" ht="21" customHeight="1">
      <x:c r="A103" s="28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</x:row>
    <x:row r="104" ht="21" customHeight="1">
      <x:c r="A104" s="28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</x:row>
    <x:row r="105" ht="21" customHeight="1">
      <x:c r="A105" s="28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</x:row>
    <x:row r="106" ht="21" customHeight="1">
      <x:c r="A106" s="28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</x:row>
    <x:row r="107" ht="21" customHeight="1">
      <x:c r="A107" s="28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</x:row>
    <x:row r="108" ht="21" customHeight="1">
      <x:c r="A108" s="28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</x:row>
    <x:row r="109" ht="21" customHeight="1">
      <x:c r="A109" s="28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</x:row>
    <x:row r="110" ht="21" customHeight="1">
      <x:c r="A110" s="28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</x:row>
    <x:row r="111" ht="21" customHeight="1">
      <x:c r="A111" s="28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</x:row>
    <x:row r="112" ht="21" customHeight="1">
      <x:c r="A112" s="28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</x:row>
    <x:row r="113" ht="21" customHeight="1">
      <x:c r="A113" s="28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</x:row>
    <x:row r="114" ht="21" customHeight="1">
      <x:c r="A114" s="28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</x:row>
    <x:row r="115" ht="21" customHeight="1">
      <x:c r="A115" s="28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</x:row>
    <x:row r="116" ht="21" customHeight="1">
      <x:c r="A116" s="28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</x:row>
    <x:row r="117" ht="21" customHeight="1">
      <x:c r="A117" s="28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</x:row>
    <x:row r="118" ht="21" customHeight="1">
      <x:c r="A118" s="28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</x:row>
    <x:row r="119" ht="21" customHeight="1">
      <x:c r="A119" s="28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</x:row>
    <x:row r="120" ht="21" customHeight="1">
      <x:c r="A120" s="28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</x:row>
    <x:row r="121" ht="21" customHeight="1">
      <x:c r="A121" s="28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</x:row>
    <x:row r="122" ht="21" customHeight="1">
      <x:c r="A122" s="28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</x:row>
    <x:row r="123" ht="21" customHeight="1">
      <x:c r="A123" s="28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</x:row>
    <x:row r="124" ht="21" customHeight="1">
      <x:c r="A124" s="28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</x:row>
    <x:row r="125" ht="21" customHeight="1">
      <x:c r="A125" s="28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</x:row>
    <x:row r="126" ht="21" customHeight="1">
      <x:c r="A126" s="28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</x:row>
    <x:row r="127" ht="21" customHeight="1">
      <x:c r="A127" s="28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</x:row>
    <x:row r="128" ht="21" customHeight="1">
      <x:c r="A128" s="28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</x:row>
    <x:row r="129" ht="21" customHeight="1">
      <x:c r="A129" s="28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</x:row>
    <x:row r="130" ht="21" customHeight="1">
      <x:c r="A130" s="28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</x:row>
    <x:row r="131" ht="21" customHeight="1">
      <x:c r="A131" s="28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</x:row>
    <x:row r="132" ht="21" customHeight="1">
      <x:c r="A132" s="28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</x:row>
    <x:row r="133" ht="21" customHeight="1">
      <x:c r="A133" s="28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</x:row>
    <x:row r="134" ht="21" customHeight="1">
      <x:c r="A134" s="28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</x:row>
    <x:row r="135" ht="21" customHeight="1">
      <x:c r="A135" s="28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</x:row>
    <x:row r="136" ht="21" customHeight="1">
      <x:c r="A136" s="28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</x:row>
    <x:row r="137" ht="21" customHeight="1">
      <x:c r="A137" s="28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</x:row>
    <x:row r="138" ht="21" customHeight="1">
      <x:c r="A138" s="28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</x:row>
    <x:row r="139" ht="21" customHeight="1">
      <x:c r="A139" s="28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</x:row>
    <x:row r="140" ht="21" customHeight="1">
      <x:c r="A140" s="28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</x:row>
    <x:row r="141" ht="21" customHeight="1">
      <x:c r="A141" s="28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</x:row>
    <x:row r="142" ht="21" customHeight="1">
      <x:c r="A142" s="28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</x:row>
    <x:row r="143" ht="21" customHeight="1">
      <x:c r="A143" s="28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</x:row>
    <x:row r="144" ht="21" customHeight="1">
      <x:c r="A144" s="28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</x:row>
    <x:row r="145" ht="21" customHeight="1">
      <x:c r="A145" s="28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</x:row>
    <x:row r="146" ht="21" customHeight="1">
      <x:c r="A146" s="28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</x:row>
    <x:row r="147" ht="21" customHeight="1">
      <x:c r="A147" s="28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</x:row>
    <x:row r="148" ht="21" customHeight="1">
      <x:c r="A148" s="28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</x:row>
    <x:row r="149" ht="21" customHeight="1">
      <x:c r="A149" s="28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</x:row>
    <x:row r="150" ht="21" customHeight="1">
      <x:c r="A150" s="28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</x:row>
    <x:row r="151" ht="21" customHeight="1">
      <x:c r="A151" s="28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</x:row>
    <x:row r="152" ht="21" customHeight="1">
      <x:c r="A152" s="28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</x:row>
    <x:row r="153" ht="21" customHeight="1">
      <x:c r="A153" s="28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</x:row>
    <x:row r="154" ht="21" customHeight="1">
      <x:c r="A154" s="28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</x:row>
    <x:row r="155" ht="21" customHeight="1">
      <x:c r="A155" s="28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</x:row>
    <x:row r="156" ht="21" customHeight="1">
      <x:c r="A156" s="28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</x:row>
    <x:row r="157" ht="21" customHeight="1">
      <x:c r="A157" s="28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</x:row>
    <x:row r="158" ht="21" customHeight="1">
      <x:c r="A158" s="28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</x:row>
    <x:row r="159" ht="21" customHeight="1">
      <x:c r="A159" s="28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</x:row>
    <x:row r="160" ht="21" customHeight="1">
      <x:c r="A160" s="28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</x:row>
    <x:row r="161" ht="21" customHeight="1">
      <x:c r="A161" s="28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</x:row>
    <x:row r="162" ht="21" customHeight="1">
      <x:c r="A162" s="28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</x:row>
    <x:row r="163" ht="21" customHeight="1">
      <x:c r="A163" s="28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</x:row>
    <x:row r="164" ht="21" customHeight="1">
      <x:c r="A164" s="28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</x:row>
    <x:row r="165" ht="21" customHeight="1">
      <x:c r="A165" s="28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</x:row>
    <x:row r="166" ht="21" customHeight="1">
      <x:c r="A166" s="28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</x:row>
    <x:row r="167" ht="21" customHeight="1">
      <x:c r="A167" s="28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</x:row>
    <x:row r="168" ht="21" customHeight="1">
      <x:c r="A168" s="28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</x:row>
    <x:row r="169" ht="21" customHeight="1">
      <x:c r="A169" s="28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</x:row>
    <x:row r="170" ht="21" customHeight="1">
      <x:c r="A170" s="28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</x:row>
    <x:row r="171" ht="21" customHeight="1">
      <x:c r="A171" s="28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</x:row>
    <x:row r="172" ht="21" customHeight="1">
      <x:c r="A172" s="28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</x:row>
    <x:row r="173" ht="21" customHeight="1">
      <x:c r="A173" s="28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</x:row>
    <x:row r="174" ht="21" customHeight="1">
      <x:c r="A174" s="28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</x:row>
    <x:row r="175" ht="21" customHeight="1">
      <x:c r="A175" s="28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</x:row>
    <x:row r="176" ht="21" customHeight="1">
      <x:c r="A176" s="28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</x:row>
    <x:row r="177" ht="21" customHeight="1">
      <x:c r="A177" s="28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</x:row>
    <x:row r="178" ht="21" customHeight="1">
      <x:c r="A178" s="28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</x:row>
    <x:row r="179" ht="21" customHeight="1">
      <x:c r="A179" s="28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</x:row>
    <x:row r="180" ht="21" customHeight="1">
      <x:c r="A180" s="28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</x:row>
    <x:row r="181" ht="21" customHeight="1">
      <x:c r="A181" s="28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</x:row>
    <x:row r="182" ht="21" customHeight="1">
      <x:c r="A182" s="28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</x:row>
    <x:row r="183" ht="21" customHeight="1">
      <x:c r="A183" s="28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</x:row>
    <x:row r="184" ht="21" customHeight="1">
      <x:c r="A184" s="28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</x:row>
    <x:row r="185" ht="21" customHeight="1">
      <x:c r="A185" s="28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</x:row>
    <x:row r="186" ht="21" customHeight="1">
      <x:c r="A186" s="28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</x:row>
    <x:row r="187" ht="21" customHeight="1">
      <x:c r="A187" s="28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</x:row>
    <x:row r="188" ht="21" customHeight="1">
      <x:c r="A188" s="28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</x:row>
    <x:row r="189" ht="21" customHeight="1">
      <x:c r="A189" s="28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</x:row>
    <x:row r="190" ht="21" customHeight="1">
      <x:c r="A190" s="28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</x:row>
    <x:row r="191" ht="21" customHeight="1">
      <x:c r="A191" s="28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</x:row>
    <x:row r="192" ht="21" customHeight="1">
      <x:c r="A192" s="28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</x:row>
    <x:row r="193" ht="21" customHeight="1">
      <x:c r="A193" s="28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</x:row>
    <x:row r="194" ht="21" customHeight="1">
      <x:c r="A194" s="28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</x:row>
    <x:row r="195" ht="21" customHeight="1">
      <x:c r="A195" s="28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</x:row>
    <x:row r="196" ht="21" customHeight="1">
      <x:c r="A196" s="28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</x:row>
    <x:row r="197" ht="21" customHeight="1">
      <x:c r="A197" s="28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</x:row>
    <x:row r="198" ht="21" customHeight="1">
      <x:c r="A198" s="28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</x:row>
    <x:row r="199" ht="21" customHeight="1">
      <x:c r="A199" s="28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</x:row>
    <x:row r="200" ht="21" customHeight="1">
      <x:c r="A200" s="28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</x:row>
    <x:row r="201" ht="21" customHeight="1">
      <x:c r="A201" s="28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</x:row>
    <x:row r="202" ht="21" customHeight="1">
      <x:c r="A202" s="28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</x:row>
    <x:row r="203" ht="21" customHeight="1">
      <x:c r="A203" s="28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</x:row>
    <x:row r="204" ht="21" customHeight="1">
      <x:c r="A204" s="28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</x:row>
    <x:row r="205" ht="21" customHeight="1">
      <x:c r="A205" s="28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</x:row>
    <x:row r="206" ht="21" customHeight="1">
      <x:c r="A206" s="28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</x:row>
    <x:row r="207" ht="21" customHeight="1">
      <x:c r="A207" s="28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</x:row>
    <x:row r="208" ht="21" customHeight="1">
      <x:c r="A208" s="28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</x:row>
    <x:row r="209" ht="21" customHeight="1">
      <x:c r="A209" s="28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</x:row>
    <x:row r="210" ht="21" customHeight="1">
      <x:c r="A210" s="28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</x:row>
    <x:row r="211" ht="21" customHeight="1">
      <x:c r="A211" s="28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</x:row>
    <x:row r="212" ht="21" customHeight="1">
      <x:c r="A212" s="28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</x:row>
    <x:row r="213" ht="21" customHeight="1">
      <x:c r="A213" s="28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</x:row>
    <x:row r="214" ht="21" customHeight="1">
      <x:c r="A214" s="28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</x:row>
    <x:row r="215" ht="21" customHeight="1">
      <x:c r="A215" s="28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</x:row>
    <x:row r="216" ht="21" customHeight="1">
      <x:c r="A216" s="28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</x:row>
    <x:row r="217" ht="21" customHeight="1">
      <x:c r="A217" s="28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</x:row>
    <x:row r="218" ht="21" customHeight="1">
      <x:c r="A218" s="28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</x:row>
    <x:row r="219" ht="21" customHeight="1">
      <x:c r="A219" s="28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</x:row>
    <x:row r="220" ht="21" customHeight="1">
      <x:c r="A220" s="28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</x:row>
    <x:row r="221" ht="21" customHeight="1">
      <x:c r="A221" s="28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</x:row>
    <x:row r="222" ht="21" customHeight="1">
      <x:c r="A222" s="28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</x:row>
    <x:row r="223" ht="21" customHeight="1">
      <x:c r="A223" s="28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</x:row>
    <x:row r="224" ht="21" customHeight="1">
      <x:c r="A224" s="28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</x:row>
    <x:row r="225" ht="21" customHeight="1">
      <x:c r="A225" s="28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</x:row>
    <x:row r="226" ht="21" customHeight="1">
      <x:c r="A226" s="28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</x:row>
    <x:row r="227" ht="21" customHeight="1">
      <x:c r="A227" s="28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</x:row>
    <x:row r="228" ht="21" customHeight="1">
      <x:c r="A228" s="28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</x:row>
    <x:row r="229" ht="21" customHeight="1">
      <x:c r="A229" s="28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</x:row>
    <x:row r="230" ht="21" customHeight="1">
      <x:c r="A230" s="28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</x:row>
    <x:row r="231" ht="21" customHeight="1">
      <x:c r="A231" s="28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</x:row>
    <x:row r="232" ht="21" customHeight="1">
      <x:c r="A232" s="28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</x:row>
    <x:row r="233" ht="21" customHeight="1">
      <x:c r="A233" s="28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</x:row>
    <x:row r="234" ht="21" customHeight="1">
      <x:c r="A234" s="28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</x:row>
    <x:row r="235" ht="21" customHeight="1">
      <x:c r="A235" s="28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</x:row>
    <x:row r="236" ht="21" customHeight="1">
      <x:c r="A236" s="28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</x:row>
    <x:row r="237" ht="21" customHeight="1">
      <x:c r="A237" s="28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</x:row>
    <x:row r="238" ht="21" customHeight="1">
      <x:c r="A238" s="28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</x:row>
    <x:row r="239" ht="21" customHeight="1">
      <x:c r="A239" s="28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</x:row>
    <x:row r="240" ht="21" customHeight="1">
      <x:c r="A240" s="28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</x:row>
    <x:row r="241" ht="21" customHeight="1">
      <x:c r="A241" s="28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</x:row>
    <x:row r="242" ht="21" customHeight="1">
      <x:c r="A242" s="28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</x:row>
    <x:row r="243" ht="21" customHeight="1">
      <x:c r="A243" s="28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</x:row>
    <x:row r="244" ht="21" customHeight="1">
      <x:c r="A244" s="28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</x:row>
    <x:row r="245" ht="21" customHeight="1">
      <x:c r="A245" s="28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</x:row>
    <x:row r="246" ht="21" customHeight="1">
      <x:c r="A246" s="28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</x:row>
    <x:row r="247" ht="21" customHeight="1">
      <x:c r="A247" s="28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</x:row>
    <x:row r="248" ht="21" customHeight="1">
      <x:c r="A248" s="28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</x:row>
    <x:row r="249" ht="21" customHeight="1">
      <x:c r="A249" s="28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</x:row>
    <x:row r="250" ht="21" customHeight="1">
      <x:c r="A250" s="28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</x:row>
    <x:row r="251" ht="21" customHeight="1">
      <x:c r="A251" s="28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</x:row>
    <x:row r="252" ht="21" customHeight="1">
      <x:c r="A252" s="28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</x:row>
    <x:row r="253" ht="21" customHeight="1">
      <x:c r="A253" s="28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</x:row>
    <x:row r="254" ht="21" customHeight="1">
      <x:c r="A254" s="28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</x:row>
    <x:row r="255" ht="21" customHeight="1">
      <x:c r="A255" s="28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</x:row>
    <x:row r="256" ht="21" customHeight="1">
      <x:c r="A256" s="28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</x:row>
    <x:row r="257" ht="21" customHeight="1">
      <x:c r="A257" s="28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</x:row>
    <x:row r="258" ht="21" customHeight="1">
      <x:c r="A258" s="28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</x:row>
    <x:row r="259" ht="21" customHeight="1">
      <x:c r="A259" s="28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</x:row>
    <x:row r="260" ht="21" customHeight="1">
      <x:c r="A260" s="28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</x:row>
    <x:row r="261" ht="21" customHeight="1">
      <x:c r="A261" s="28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</x:row>
    <x:row r="262" ht="21" customHeight="1">
      <x:c r="A262" s="28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</x:row>
    <x:row r="263" ht="21" customHeight="1">
      <x:c r="A263" s="28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</x:row>
    <x:row r="264" ht="21" customHeight="1">
      <x:c r="A264" s="28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</x:row>
    <x:row r="265" ht="21" customHeight="1">
      <x:c r="A265" s="28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</x:row>
    <x:row r="266" ht="21" customHeight="1">
      <x:c r="A266" s="28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</x:row>
    <x:row r="267" ht="21" customHeight="1">
      <x:c r="A267" s="28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</x:row>
    <x:row r="268" ht="21" customHeight="1">
      <x:c r="A268" s="28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</x:row>
    <x:row r="269" ht="21" customHeight="1">
      <x:c r="A269" s="28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</x:row>
    <x:row r="270" ht="21" customHeight="1">
      <x:c r="A270" s="28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</x:row>
    <x:row r="271" ht="21" customHeight="1">
      <x:c r="A271" s="28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</x:row>
    <x:row r="272" ht="21" customHeight="1">
      <x:c r="A272" s="28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</x:row>
    <x:row r="273" ht="21" customHeight="1">
      <x:c r="A273" s="28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</x:row>
    <x:row r="274" ht="21" customHeight="1">
      <x:c r="A274" s="28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</x:row>
    <x:row r="275" ht="21" customHeight="1">
      <x:c r="A275" s="28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</x:row>
    <x:row r="276" ht="21" customHeight="1">
      <x:c r="A276" s="28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</x:row>
    <x:row r="277" ht="21" customHeight="1">
      <x:c r="A277" s="28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</x:row>
    <x:row r="278" ht="21" customHeight="1">
      <x:c r="A278" s="28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</x:row>
    <x:row r="279" ht="21" customHeight="1">
      <x:c r="A279" s="28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</x:row>
    <x:row r="280" ht="21" customHeight="1">
      <x:c r="A280" s="28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</x:row>
    <x:row r="281" ht="21" customHeight="1">
      <x:c r="A281" s="28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</x:row>
    <x:row r="282" ht="21" customHeight="1">
      <x:c r="A282" s="28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</x:row>
    <x:row r="283" ht="21" customHeight="1">
      <x:c r="A283" s="28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</x:row>
    <x:row r="284" ht="21" customHeight="1">
      <x:c r="A284" s="28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</x:row>
    <x:row r="285" ht="21" customHeight="1">
      <x:c r="A285" s="28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</x:row>
    <x:row r="286" ht="21" customHeight="1">
      <x:c r="A286" s="28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</x:row>
    <x:row r="287" ht="21" customHeight="1">
      <x:c r="A287" s="28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</x:row>
    <x:row r="288" ht="21" customHeight="1">
      <x:c r="A288" s="28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</x:row>
    <x:row r="289" ht="21" customHeight="1">
      <x:c r="A289" s="28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</x:row>
    <x:row r="290" ht="21" customHeight="1">
      <x:c r="A290" s="28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</x:row>
    <x:row r="291" ht="21" customHeight="1">
      <x:c r="A291" s="28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</x:row>
    <x:row r="292" ht="21" customHeight="1">
      <x:c r="A292" s="28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</x:row>
    <x:row r="293" ht="21" customHeight="1">
      <x:c r="A293" s="28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</x:row>
    <x:row r="294" ht="21" customHeight="1">
      <x:c r="A294" s="28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</x:row>
    <x:row r="295" ht="21" customHeight="1">
      <x:c r="A295" s="28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</x:row>
    <x:row r="296" ht="21" customHeight="1">
      <x:c r="A296" s="28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</x:row>
    <x:row r="297" ht="21" customHeight="1">
      <x:c r="A297" s="28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</x:row>
    <x:row r="298" ht="21" customHeight="1">
      <x:c r="A298" s="28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</x:row>
    <x:row r="299" ht="21" customHeight="1">
      <x:c r="A299" s="28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</x:row>
    <x:row r="300" ht="21" customHeight="1">
      <x:c r="A300" s="28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</x:row>
    <x:row r="301" ht="21" customHeight="1">
      <x:c r="A301" s="28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</x:row>
    <x:row r="302" ht="21" customHeight="1">
      <x:c r="A302" s="28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</x:row>
    <x:row r="303" ht="21" customHeight="1">
      <x:c r="A303" s="28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</x:row>
    <x:row r="304" ht="21" customHeight="1">
      <x:c r="A304" s="28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</x:row>
    <x:row r="305" ht="21" customHeight="1">
      <x:c r="A305" s="28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</x:row>
    <x:row r="306" ht="21" customHeight="1">
      <x:c r="A306" s="28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</x:row>
    <x:row r="307" ht="21" customHeight="1">
      <x:c r="A307" s="28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</x:row>
    <x:row r="308" ht="21" customHeight="1">
      <x:c r="A308" s="28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</x:row>
    <x:row r="309" ht="21" customHeight="1">
      <x:c r="A309" s="28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</x:row>
    <x:row r="310" ht="21" customHeight="1">
      <x:c r="A310" s="28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</x:row>
    <x:row r="311" ht="21" customHeight="1">
      <x:c r="A311" s="28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</x:row>
    <x:row r="312" ht="21" customHeight="1">
      <x:c r="A312" s="28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</x:row>
    <x:row r="313" ht="21" customHeight="1">
      <x:c r="A313" s="28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</x:row>
    <x:row r="314" ht="21" customHeight="1">
      <x:c r="A314" s="28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</x:row>
    <x:row r="315" ht="21" customHeight="1">
      <x:c r="A315" s="28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</x:row>
    <x:row r="316" ht="21" customHeight="1">
      <x:c r="A316" s="28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</x:row>
    <x:row r="317" ht="21" customHeight="1">
      <x:c r="A317" s="28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</x:row>
    <x:row r="318" ht="21" customHeight="1">
      <x:c r="A318" s="28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</x:row>
    <x:row r="319" ht="21" customHeight="1">
      <x:c r="A319" s="28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</x:row>
    <x:row r="320" ht="21" customHeight="1">
      <x:c r="A320" s="28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</x:row>
    <x:row r="321" ht="21" customHeight="1">
      <x:c r="A321" s="28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</x:row>
    <x:row r="322" ht="21" customHeight="1">
      <x:c r="A322" s="28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</x:row>
    <x:row r="323" ht="21" customHeight="1">
      <x:c r="A323" s="28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</x:row>
    <x:row r="324" ht="21" customHeight="1">
      <x:c r="A324" s="28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</x:row>
    <x:row r="325" ht="21" customHeight="1">
      <x:c r="A325" s="28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</x:row>
    <x:row r="326" ht="21" customHeight="1">
      <x:c r="A326" s="28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</x:row>
    <x:row r="327" ht="21" customHeight="1">
      <x:c r="A327" s="28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</x:row>
    <x:row r="328" ht="21" customHeight="1">
      <x:c r="A328" s="28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</x:row>
    <x:row r="329" ht="21" customHeight="1">
      <x:c r="A329" s="28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</x:row>
    <x:row r="330" ht="21" customHeight="1">
      <x:c r="A330" s="28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</x:row>
    <x:row r="331" ht="21" customHeight="1">
      <x:c r="A331" s="28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</x:row>
    <x:row r="332" ht="21" customHeight="1">
      <x:c r="A332" s="28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</x:row>
    <x:row r="333" ht="21" customHeight="1">
      <x:c r="A333" s="28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</x:row>
    <x:row r="334" ht="21" customHeight="1">
      <x:c r="A334" s="28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</x:row>
    <x:row r="335" ht="21" customHeight="1">
      <x:c r="A335" s="28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</x:row>
    <x:row r="336" ht="21" customHeight="1">
      <x:c r="A336" s="28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</x:row>
    <x:row r="337" ht="21" customHeight="1">
      <x:c r="A337" s="28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</x:row>
    <x:row r="338" ht="21" customHeight="1">
      <x:c r="A338" s="28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</x:row>
    <x:row r="339" ht="21" customHeight="1">
      <x:c r="A339" s="28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</x:row>
    <x:row r="340" ht="21" customHeight="1">
      <x:c r="A340" s="28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</x:row>
    <x:row r="341" ht="21" customHeight="1">
      <x:c r="A341" s="28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</x:row>
    <x:row r="342" ht="21" customHeight="1">
      <x:c r="A342" s="28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</x:row>
    <x:row r="343" ht="21" customHeight="1">
      <x:c r="A343" s="28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</x:row>
    <x:row r="344" ht="21" customHeight="1">
      <x:c r="A344" s="28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</x:row>
    <x:row r="345" ht="21" customHeight="1">
      <x:c r="A345" s="28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</x:row>
    <x:row r="346" ht="21" customHeight="1">
      <x:c r="A346" s="28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</x:row>
    <x:row r="347" ht="21" customHeight="1">
      <x:c r="A347" s="28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</x:row>
    <x:row r="348" ht="21" customHeight="1">
      <x:c r="A348" s="28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</x:row>
    <x:row r="349" ht="21" customHeight="1">
      <x:c r="A349" s="28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</x:row>
    <x:row r="350" ht="21" customHeight="1">
      <x:c r="A350" s="28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</x:row>
    <x:row r="351" ht="21" customHeight="1">
      <x:c r="A351" s="28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</x:row>
    <x:row r="352" ht="21" customHeight="1">
      <x:c r="A352" s="28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</x:row>
    <x:row r="353" ht="21" customHeight="1">
      <x:c r="A353" s="28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</x:row>
    <x:row r="354" ht="21" customHeight="1">
      <x:c r="A354" s="28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</x:row>
    <x:row r="355" ht="21" customHeight="1">
      <x:c r="A355" s="28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</x:row>
    <x:row r="356" ht="21" customHeight="1">
      <x:c r="A356" s="28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</x:row>
    <x:row r="357" ht="21" customHeight="1">
      <x:c r="A357" s="28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</x:row>
    <x:row r="358" ht="21" customHeight="1">
      <x:c r="A358" s="28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</x:row>
    <x:row r="359" ht="21" customHeight="1">
      <x:c r="A359" s="28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</x:row>
    <x:row r="360" ht="21" customHeight="1">
      <x:c r="A360" s="28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</x:row>
    <x:row r="361" ht="21" customHeight="1">
      <x:c r="A361" s="28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</x:row>
    <x:row r="362" ht="21" customHeight="1">
      <x:c r="A362" s="28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</x:row>
    <x:row r="363" ht="21" customHeight="1">
      <x:c r="A363" s="28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</x:row>
    <x:row r="364" ht="21" customHeight="1">
      <x:c r="A364" s="28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</x:row>
    <x:row r="365" ht="21" customHeight="1">
      <x:c r="A365" s="28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</x:row>
    <x:row r="366" ht="21" customHeight="1">
      <x:c r="A366" s="28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</x:row>
    <x:row r="367" ht="21" customHeight="1">
      <x:c r="A367" s="28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</x:row>
    <x:row r="368" ht="21" customHeight="1">
      <x:c r="A368" s="28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</x:row>
    <x:row r="369" ht="21" customHeight="1">
      <x:c r="A369" s="28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</x:row>
    <x:row r="370" ht="21" customHeight="1">
      <x:c r="A370" s="28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</x:row>
    <x:row r="371" ht="21" customHeight="1">
      <x:c r="A371" s="28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</x:row>
    <x:row r="372" ht="21" customHeight="1">
      <x:c r="A372" s="28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</x:row>
    <x:row r="373" ht="21" customHeight="1">
      <x:c r="A373" s="28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</x:row>
    <x:row r="374" ht="21" customHeight="1">
      <x:c r="A374" s="28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</x:row>
    <x:row r="375" ht="21" customHeight="1">
      <x:c r="A375" s="28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</x:row>
    <x:row r="376" ht="21" customHeight="1">
      <x:c r="A376" s="28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</x:row>
    <x:row r="377" ht="21" customHeight="1">
      <x:c r="A377" s="28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</x:row>
    <x:row r="378" ht="21" customHeight="1">
      <x:c r="A378" s="28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</x:row>
    <x:row r="379" ht="21" customHeight="1">
      <x:c r="A379" s="28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</x:row>
    <x:row r="380" ht="21" customHeight="1">
      <x:c r="A380" s="28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</x:row>
    <x:row r="381" ht="21" customHeight="1">
      <x:c r="A381" s="28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</x:row>
    <x:row r="382" ht="21" customHeight="1">
      <x:c r="A382" s="28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</x:row>
    <x:row r="383" ht="21" customHeight="1">
      <x:c r="A383" s="28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</x:row>
    <x:row r="384" ht="21" customHeight="1">
      <x:c r="A384" s="28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</x:row>
    <x:row r="385" ht="21" customHeight="1">
      <x:c r="A385" s="28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</x:row>
    <x:row r="386" ht="21" customHeight="1">
      <x:c r="A386" s="28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</x:row>
    <x:row r="387" ht="21" customHeight="1">
      <x:c r="A387" s="28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</x:row>
    <x:row r="388" ht="21" customHeight="1">
      <x:c r="A388" s="28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</x:row>
    <x:row r="389" ht="21" customHeight="1">
      <x:c r="A389" s="28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</x:row>
    <x:row r="390" ht="21" customHeight="1">
      <x:c r="A390" s="28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</x:row>
    <x:row r="391" ht="21" customHeight="1">
      <x:c r="A391" s="28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</x:row>
    <x:row r="392" ht="21" customHeight="1">
      <x:c r="A392" s="28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</x:row>
    <x:row r="393" ht="21" customHeight="1">
      <x:c r="A393" s="28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</x:row>
    <x:row r="394" ht="21" customHeight="1">
      <x:c r="A394" s="28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</x:row>
    <x:row r="395" ht="21" customHeight="1">
      <x:c r="A395" s="28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</x:row>
    <x:row r="396" ht="21" customHeight="1">
      <x:c r="A396" s="28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</x:row>
    <x:row r="397" ht="21" customHeight="1">
      <x:c r="A397" s="28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</x:row>
    <x:row r="398" ht="21" customHeight="1">
      <x:c r="A398" s="28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</x:row>
    <x:row r="399" ht="21" customHeight="1">
      <x:c r="A399" s="28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</x:row>
    <x:row r="400" ht="21" customHeight="1">
      <x:c r="A400" s="28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</x:row>
    <x:row r="401" ht="21" customHeight="1">
      <x:c r="A401" s="28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</x:row>
    <x:row r="402" ht="21" customHeight="1">
      <x:c r="A402" s="28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</x:row>
    <x:row r="403" ht="21" customHeight="1">
      <x:c r="A403" s="28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</x:row>
    <x:row r="404" ht="21" customHeight="1">
      <x:c r="A404" s="28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</x:row>
    <x:row r="405" ht="21" customHeight="1">
      <x:c r="A405" s="28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</x:row>
    <x:row r="406" ht="21" customHeight="1">
      <x:c r="A406" s="28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</x:row>
    <x:row r="407" ht="21" customHeight="1">
      <x:c r="A407" s="28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</x:row>
    <x:row r="408" ht="21" customHeight="1">
      <x:c r="A408" s="28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</x:row>
    <x:row r="409" ht="21" customHeight="1">
      <x:c r="A409" s="28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</x:row>
    <x:row r="410" ht="21" customHeight="1">
      <x:c r="A410" s="28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</x:row>
    <x:row r="411" ht="21" customHeight="1">
      <x:c r="A411" s="28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</x:row>
    <x:row r="412" ht="21" customHeight="1">
      <x:c r="A412" s="28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</x:row>
    <x:row r="413" ht="21" customHeight="1">
      <x:c r="A413" s="28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</x:row>
    <x:row r="414" ht="21" customHeight="1">
      <x:c r="A414" s="28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</x:row>
    <x:row r="415" ht="21" customHeight="1">
      <x:c r="A415" s="28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</x:row>
    <x:row r="416" ht="21" customHeight="1">
      <x:c r="A416" s="28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</x:row>
    <x:row r="417" ht="21" customHeight="1">
      <x:c r="A417" s="28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</x:row>
    <x:row r="418" ht="21" customHeight="1">
      <x:c r="A418" s="28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</x:row>
    <x:row r="419" ht="21" customHeight="1">
      <x:c r="A419" s="28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</x:row>
    <x:row r="420" ht="21" customHeight="1">
      <x:c r="A420" s="28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</x:row>
    <x:row r="421" ht="21" customHeight="1">
      <x:c r="A421" s="28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</x:row>
    <x:row r="422" ht="21" customHeight="1">
      <x:c r="A422" s="28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</x:row>
    <x:row r="423" ht="21" customHeight="1">
      <x:c r="A423" s="28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</x:row>
    <x:row r="424" ht="21" customHeight="1">
      <x:c r="A424" s="28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</x:row>
    <x:row r="425" ht="21" customHeight="1">
      <x:c r="A425" s="28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</x:row>
    <x:row r="426" ht="21" customHeight="1">
      <x:c r="A426" s="28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</x:row>
    <x:row r="427" ht="21" customHeight="1">
      <x:c r="A427" s="28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</x:row>
    <x:row r="428" ht="21" customHeight="1">
      <x:c r="A428" s="28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</x:row>
    <x:row r="429" ht="21" customHeight="1">
      <x:c r="A429" s="28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</x:row>
    <x:row r="430" ht="21" customHeight="1">
      <x:c r="A430" s="28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</x:row>
    <x:row r="431" ht="21" customHeight="1">
      <x:c r="A431" s="28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</x:row>
    <x:row r="432" ht="21" customHeight="1">
      <x:c r="A432" s="28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</x:row>
    <x:row r="433" ht="21" customHeight="1">
      <x:c r="A433" s="28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</x:row>
    <x:row r="434" ht="21" customHeight="1">
      <x:c r="A434" s="28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</x:row>
    <x:row r="435" ht="21" customHeight="1">
      <x:c r="A435" s="28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</x:row>
    <x:row r="436" ht="21" customHeight="1">
      <x:c r="A436" s="28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</x:row>
    <x:row r="437" ht="21" customHeight="1">
      <x:c r="A437" s="28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</x:row>
    <x:row r="438" ht="21" customHeight="1">
      <x:c r="A438" s="28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</x:row>
    <x:row r="439" ht="21" customHeight="1">
      <x:c r="A439" s="28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</x:row>
    <x:row r="440" ht="21" customHeight="1">
      <x:c r="A440" s="28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</x:row>
    <x:row r="441" ht="21" customHeight="1">
      <x:c r="A441" s="28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</x:row>
    <x:row r="442" ht="21" customHeight="1">
      <x:c r="A442" s="28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</x:row>
    <x:row r="443" ht="21" customHeight="1">
      <x:c r="A443" s="28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</x:row>
    <x:row r="444" ht="21" customHeight="1">
      <x:c r="A444" s="28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</x:row>
    <x:row r="445" ht="21" customHeight="1">
      <x:c r="A445" s="28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</x:row>
    <x:row r="446" ht="21" customHeight="1">
      <x:c r="A446" s="28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</x:row>
    <x:row r="447" ht="21" customHeight="1">
      <x:c r="A447" s="28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</x:row>
    <x:row r="448" ht="21" customHeight="1">
      <x:c r="A448" s="28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</x:row>
    <x:row r="449" ht="21" customHeight="1">
      <x:c r="A449" s="28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</x:row>
    <x:row r="450" ht="21" customHeight="1">
      <x:c r="A450" s="28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</x:row>
    <x:row r="451" ht="21" customHeight="1">
      <x:c r="A451" s="28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</x:row>
    <x:row r="452" ht="21" customHeight="1">
      <x:c r="A452" s="28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</x:row>
    <x:row r="453" ht="21" customHeight="1">
      <x:c r="A453" s="28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</x:row>
    <x:row r="454" ht="21" customHeight="1">
      <x:c r="A454" s="28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</x:row>
    <x:row r="455" ht="21" customHeight="1">
      <x:c r="A455" s="28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</x:row>
    <x:row r="456" ht="21" customHeight="1">
      <x:c r="A456" s="28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</x:row>
    <x:row r="457" ht="21" customHeight="1">
      <x:c r="A457" s="28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</x:row>
    <x:row r="458" ht="21" customHeight="1">
      <x:c r="A458" s="28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</x:row>
    <x:row r="459" ht="21" customHeight="1">
      <x:c r="A459" s="28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</x:row>
    <x:row r="460" ht="21" customHeight="1">
      <x:c r="A460" s="28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</x:row>
    <x:row r="461" ht="21" customHeight="1">
      <x:c r="A461" s="28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</x:row>
    <x:row r="462" ht="21" customHeight="1">
      <x:c r="A462" s="28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</x:row>
    <x:row r="463" ht="21" customHeight="1">
      <x:c r="A463" s="28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</x:row>
    <x:row r="464" ht="21" customHeight="1">
      <x:c r="A464" s="28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</x:row>
    <x:row r="465" ht="21" customHeight="1">
      <x:c r="A465" s="28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</x:row>
    <x:row r="466" ht="21" customHeight="1">
      <x:c r="A466" s="28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</x:row>
    <x:row r="467" ht="21" customHeight="1">
      <x:c r="A467" s="28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</x:row>
    <x:row r="468" ht="21" customHeight="1">
      <x:c r="A468" s="28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</x:row>
    <x:row r="469" ht="21" customHeight="1">
      <x:c r="A469" s="28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</x:row>
    <x:row r="470" ht="21" customHeight="1">
      <x:c r="A470" s="28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</x:row>
    <x:row r="471" ht="21" customHeight="1">
      <x:c r="A471" s="28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</x:row>
    <x:row r="472" ht="21" customHeight="1">
      <x:c r="A472" s="28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</x:row>
    <x:row r="473" ht="21" customHeight="1">
      <x:c r="A473" s="28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</x:row>
    <x:row r="474" ht="21" customHeight="1">
      <x:c r="A474" s="28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</x:row>
    <x:row r="475" ht="21" customHeight="1">
      <x:c r="A475" s="28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</x:row>
    <x:row r="476" ht="21" customHeight="1">
      <x:c r="A476" s="28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</x:row>
    <x:row r="477" ht="21" customHeight="1">
      <x:c r="A477" s="28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</x:row>
    <x:row r="478" ht="21" customHeight="1">
      <x:c r="A478" s="28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</x:row>
    <x:row r="479" ht="21" customHeight="1">
      <x:c r="A479" s="28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</x:row>
    <x:row r="480" ht="21" customHeight="1">
      <x:c r="A480" s="28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</x:row>
    <x:row r="481" ht="21" customHeight="1">
      <x:c r="A481" s="28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</x:row>
    <x:row r="482" ht="21" customHeight="1">
      <x:c r="A482" s="28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</x:row>
    <x:row r="483" ht="21" customHeight="1">
      <x:c r="A483" s="28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</x:row>
    <x:row r="484" ht="21" customHeight="1">
      <x:c r="A484" s="28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</x:row>
    <x:row r="485" ht="21" customHeight="1">
      <x:c r="A485" s="28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</x:row>
    <x:row r="486" ht="21" customHeight="1">
      <x:c r="A486" s="28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</x:row>
    <x:row r="487" ht="21" customHeight="1">
      <x:c r="A487" s="28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</x:row>
    <x:row r="488" ht="21" customHeight="1">
      <x:c r="A488" s="28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</x:row>
    <x:row r="489" ht="21" customHeight="1">
      <x:c r="A489" s="28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</x:row>
    <x:row r="490" ht="21" customHeight="1">
      <x:c r="A490" s="28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</x:row>
    <x:row r="491" ht="21" customHeight="1">
      <x:c r="A491" s="28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</x:row>
    <x:row r="492" ht="21" customHeight="1">
      <x:c r="A492" s="28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</x:row>
    <x:row r="493" ht="21" customHeight="1">
      <x:c r="A493" s="28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</x:row>
    <x:row r="494" ht="21" customHeight="1">
      <x:c r="A494" s="28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</x:row>
    <x:row r="495" ht="21" customHeight="1">
      <x:c r="A495" s="28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</x:row>
    <x:row r="496" ht="21" customHeight="1">
      <x:c r="A496" s="28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</x:row>
    <x:row r="497" ht="21" customHeight="1">
      <x:c r="A497" s="28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</x:row>
    <x:row r="498" ht="21" customHeight="1">
      <x:c r="A498" s="28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</x:row>
    <x:row r="499" ht="21" customHeight="1">
      <x:c r="A499" s="28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</x:row>
    <x:row r="500" ht="21" customHeight="1">
      <x:c r="A500" s="28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</x:row>
    <x:row r="501" ht="21" customHeight="1">
      <x:c r="A501" s="28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</x:row>
    <x:row r="502" ht="21" customHeight="1">
      <x:c r="A502" s="28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</x:row>
    <x:row r="503" ht="21" customHeight="1">
      <x:c r="A503" s="28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</x:row>
    <x:row r="504" ht="21" customHeight="1">
      <x:c r="A504" s="28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</x:row>
    <x:row r="505" ht="21" customHeight="1">
      <x:c r="A505" s="28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</x:row>
    <x:row r="506" ht="21" customHeight="1">
      <x:c r="A506" s="28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</x:row>
    <x:row r="507" ht="21" customHeight="1">
      <x:c r="A507" s="28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</x:row>
    <x:row r="508" ht="21" customHeight="1">
      <x:c r="A508" s="28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</x:row>
    <x:row r="509" ht="21" customHeight="1">
      <x:c r="A509" s="28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</x:row>
    <x:row r="510" ht="21" customHeight="1">
      <x:c r="A510" s="28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</x:row>
    <x:row r="511" ht="21" customHeight="1">
      <x:c r="A511" s="28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</x:row>
    <x:row r="512" ht="21" customHeight="1">
      <x:c r="A512" s="28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</x:row>
    <x:row r="513" ht="21" customHeight="1">
      <x:c r="A513" s="28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</x:row>
    <x:row r="514" ht="21" customHeight="1">
      <x:c r="A514" s="28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</x:row>
    <x:row r="515" ht="21" customHeight="1">
      <x:c r="A515" s="28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</x:row>
    <x:row r="516" ht="21" customHeight="1">
      <x:c r="A516" s="28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</x:row>
    <x:row r="517" ht="21" customHeight="1">
      <x:c r="A517" s="28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</x:row>
    <x:row r="518" ht="21" customHeight="1">
      <x:c r="A518" s="28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</x:row>
    <x:row r="519" ht="21" customHeight="1">
      <x:c r="A519" s="28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</x:row>
    <x:row r="520" ht="21" customHeight="1">
      <x:c r="A520" s="28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</x:row>
  </x:sheetData>
  <x:pageMargins left="0.7" right="0.7" top="0.75" bottom="0.75" header="0.3" footer="0.3"/>
</x:worksheet>
</file>